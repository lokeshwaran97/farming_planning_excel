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Documents\linearDiscrete\coursework\animate\"/>
    </mc:Choice>
  </mc:AlternateContent>
  <xr:revisionPtr revIDLastSave="0" documentId="13_ncr:1_{14575EF8-850E-43F5-99E1-D12DB4EF1F0E}" xr6:coauthVersionLast="47" xr6:coauthVersionMax="47" xr10:uidLastSave="{00000000-0000-0000-0000-000000000000}"/>
  <bookViews>
    <workbookView xWindow="-120" yWindow="-120" windowWidth="19440" windowHeight="11640" xr2:uid="{AFCAFD0A-7F3F-FB4B-A904-03A706422D72}"/>
  </bookViews>
  <sheets>
    <sheet name="Sheet2" sheetId="2" r:id="rId1"/>
    <sheet name="Sensitivity Report 1" sheetId="3" r:id="rId2"/>
    <sheet name="Answer Report 1" sheetId="4" r:id="rId3"/>
  </sheets>
  <definedNames>
    <definedName name="OpenSolver_ChosenSolver" localSheetId="0" hidden="1">CBC</definedName>
    <definedName name="OpenSolver_DualsNewSheet" localSheetId="0" hidden="1">0</definedName>
    <definedName name="OpenSolver_LinearityCheck" localSheetId="0" hidden="1">1</definedName>
    <definedName name="OpenSolver_UpdateSensitivity" localSheetId="0" hidden="1">1</definedName>
    <definedName name="solver_adj" localSheetId="0" hidden="1">Sheet2!$D$7:$E$11,Sheet2!$B$37:$E$41,Sheet2!$G$46:$I$50,Sheet2!$G$58:$I$62,Sheet2!$R$58:$R$62,Sheet2!$F$78:$F$82,Sheet2!$P$91:$P$95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Sheet2!$B$37:$B$41</definedName>
    <definedName name="solver_lhs10" localSheetId="0" hidden="1">Sheet2!$H$67:$H$71</definedName>
    <definedName name="solver_lhs11" localSheetId="0" hidden="1">Sheet2!$K$145</definedName>
    <definedName name="solver_lhs12" localSheetId="0" hidden="1">Sheet2!$K$145</definedName>
    <definedName name="solver_lhs13" localSheetId="0" hidden="1">Sheet2!$L$91:$L$95</definedName>
    <definedName name="solver_lhs14" localSheetId="0" hidden="1">Sheet2!$N$46:$N$50</definedName>
    <definedName name="solver_lhs15" localSheetId="0" hidden="1">Sheet2!$N$58:$N$62</definedName>
    <definedName name="solver_lhs16" localSheetId="0" hidden="1">Sheet2!$D$144:$D$148</definedName>
    <definedName name="solver_lhs17" localSheetId="0" hidden="1">Sheet2!$N$46:$N$50</definedName>
    <definedName name="solver_lhs18" localSheetId="0" hidden="1">Sheet2!$D$46:$D$50</definedName>
    <definedName name="solver_lhs19" localSheetId="0" hidden="1">Sheet2!$N$58:$N$62</definedName>
    <definedName name="solver_lhs2" localSheetId="0" hidden="1">Sheet2!$B$78:$B$82</definedName>
    <definedName name="solver_lhs3" localSheetId="0" hidden="1">Sheet2!$C$37:$C$41</definedName>
    <definedName name="solver_lhs4" localSheetId="0" hidden="1">Sheet2!$D$144:$D$148</definedName>
    <definedName name="solver_lhs5" localSheetId="0" hidden="1">Sheet2!$D$37:$D$41</definedName>
    <definedName name="solver_lhs6" localSheetId="0" hidden="1">Sheet2!$D$46:$D$50</definedName>
    <definedName name="solver_lhs7" localSheetId="0" hidden="1">Sheet2!$D$58:$D$62</definedName>
    <definedName name="solver_lhs8" localSheetId="0" hidden="1">Sheet2!$E$37:$E$41</definedName>
    <definedName name="solver_lhs9" localSheetId="0" hidden="1">Sheet2!$H$25:$H$29</definedName>
    <definedName name="solver_lin" localSheetId="0" hidden="1">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15</definedName>
    <definedName name="solver_nwt" localSheetId="0" hidden="1">1</definedName>
    <definedName name="solver_opt" localSheetId="0" hidden="1">Sheet2!$D$149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1" localSheetId="0" hidden="1">1</definedName>
    <definedName name="solver_rel12" localSheetId="0" hidden="1">3</definedName>
    <definedName name="solver_rel13" localSheetId="0" hidden="1">1</definedName>
    <definedName name="solver_rel14" localSheetId="0" hidden="1">2</definedName>
    <definedName name="solver_rel15" localSheetId="0" hidden="1">2</definedName>
    <definedName name="solver_rel16" localSheetId="0" hidden="1">3</definedName>
    <definedName name="solver_rel17" localSheetId="0" hidden="1">2</definedName>
    <definedName name="solver_rel18" localSheetId="0" hidden="1">1</definedName>
    <definedName name="solver_rel19" localSheetId="0" hidden="1">2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1</definedName>
    <definedName name="solver_rel7" localSheetId="0" hidden="1">1</definedName>
    <definedName name="solver_rel8" localSheetId="0" hidden="1">1</definedName>
    <definedName name="solver_rel9" localSheetId="0" hidden="1">2</definedName>
    <definedName name="solver_rhs1" localSheetId="0" hidden="1">Sheet2!$B$43</definedName>
    <definedName name="solver_rhs10" localSheetId="0" hidden="1">Sheet2!$J$67:$J$71</definedName>
    <definedName name="solver_rhs11" localSheetId="0" hidden="1">Sheet2!$M$145</definedName>
    <definedName name="solver_rhs12" localSheetId="0" hidden="1">Sheet2!$I$145</definedName>
    <definedName name="solver_rhs13" localSheetId="0" hidden="1">Sheet2!$N$91:$N$95</definedName>
    <definedName name="solver_rhs14" localSheetId="0" hidden="1">Sheet2!$P$46:$P$50</definedName>
    <definedName name="solver_rhs15" localSheetId="0" hidden="1">Sheet2!$P$58:$P$62</definedName>
    <definedName name="solver_rhs16" localSheetId="0" hidden="1">Sheet2!$F$144:$F$148</definedName>
    <definedName name="solver_rhs17" localSheetId="0" hidden="1">Sheet2!$P$46:$P$50</definedName>
    <definedName name="solver_rhs18" localSheetId="0" hidden="1">Sheet2!$F$46:$F$50</definedName>
    <definedName name="solver_rhs19" localSheetId="0" hidden="1">Sheet2!$P$58:$P$62</definedName>
    <definedName name="solver_rhs2" localSheetId="0" hidden="1">Sheet2!$D$78:$D$82</definedName>
    <definedName name="solver_rhs3" localSheetId="0" hidden="1">Sheet2!$C$43</definedName>
    <definedName name="solver_rhs4" localSheetId="0" hidden="1">Sheet2!$F$144:$F$148</definedName>
    <definedName name="solver_rhs5" localSheetId="0" hidden="1">Sheet2!$D$43</definedName>
    <definedName name="solver_rhs6" localSheetId="0" hidden="1">Sheet2!$F$46:$F$50</definedName>
    <definedName name="solver_rhs7" localSheetId="0" hidden="1">Sheet2!$F$58:$F$62</definedName>
    <definedName name="solver_rhs8" localSheetId="0" hidden="1">Sheet2!$E$43</definedName>
    <definedName name="solver_rhs9" localSheetId="0" hidden="1">Sheet2!$J$25:$J$29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0</definedName>
    <definedName name="solver_ssz" localSheetId="0" hidden="1">100</definedName>
    <definedName name="solver_tim" localSheetId="0" hidden="1">2147483647</definedName>
    <definedName name="solver_tol" localSheetId="0" hidden="1">0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92" i="2" l="1"/>
  <c r="N93" i="2"/>
  <c r="N94" i="2"/>
  <c r="N95" i="2"/>
  <c r="N91" i="2"/>
  <c r="F9" i="2"/>
  <c r="G10" i="2" s="1"/>
  <c r="H11" i="2" s="1"/>
  <c r="F10" i="2"/>
  <c r="G11" i="2" s="1"/>
  <c r="F11" i="2"/>
  <c r="B71" i="2" s="1"/>
  <c r="D71" i="2" s="1"/>
  <c r="G8" i="2"/>
  <c r="H9" i="2" s="1"/>
  <c r="I10" i="2" s="1"/>
  <c r="J11" i="2" s="1"/>
  <c r="H8" i="2"/>
  <c r="I9" i="2" s="1"/>
  <c r="J10" i="2" s="1"/>
  <c r="K11" i="2" s="1"/>
  <c r="I8" i="2"/>
  <c r="J9" i="2" s="1"/>
  <c r="K10" i="2" s="1"/>
  <c r="L11" i="2" s="1"/>
  <c r="J8" i="2"/>
  <c r="K9" i="2" s="1"/>
  <c r="L10" i="2" s="1"/>
  <c r="M11" i="2" s="1"/>
  <c r="K8" i="2"/>
  <c r="L9" i="2" s="1"/>
  <c r="M10" i="2" s="1"/>
  <c r="N11" i="2" s="1"/>
  <c r="L8" i="2"/>
  <c r="M9" i="2" s="1"/>
  <c r="N10" i="2" s="1"/>
  <c r="O11" i="2" s="1"/>
  <c r="M8" i="2"/>
  <c r="N9" i="2" s="1"/>
  <c r="O10" i="2" s="1"/>
  <c r="P11" i="2" s="1"/>
  <c r="N8" i="2"/>
  <c r="O9" i="2" s="1"/>
  <c r="P10" i="2" s="1"/>
  <c r="Q11" i="2" s="1"/>
  <c r="O8" i="2"/>
  <c r="P9" i="2" s="1"/>
  <c r="Q10" i="2" s="1"/>
  <c r="P8" i="2"/>
  <c r="Q9" i="2" s="1"/>
  <c r="Q8" i="2"/>
  <c r="G114" i="2" s="1"/>
  <c r="I114" i="2" s="1"/>
  <c r="D125" i="2" s="1"/>
  <c r="F8" i="2"/>
  <c r="G9" i="2" s="1"/>
  <c r="H10" i="2" s="1"/>
  <c r="I11" i="2" s="1"/>
  <c r="D82" i="2"/>
  <c r="D81" i="2"/>
  <c r="D80" i="2"/>
  <c r="D79" i="2"/>
  <c r="E67" i="2"/>
  <c r="F59" i="2"/>
  <c r="F60" i="2"/>
  <c r="F61" i="2"/>
  <c r="F62" i="2"/>
  <c r="F58" i="2"/>
  <c r="N59" i="2"/>
  <c r="N60" i="2"/>
  <c r="N61" i="2"/>
  <c r="N62" i="2"/>
  <c r="N58" i="2"/>
  <c r="B25" i="2"/>
  <c r="B200" i="2" s="1"/>
  <c r="G113" i="2"/>
  <c r="I113" i="2" s="1"/>
  <c r="D124" i="2" s="1"/>
  <c r="B113" i="2"/>
  <c r="D113" i="2" s="1"/>
  <c r="E124" i="2" s="1"/>
  <c r="R92" i="2"/>
  <c r="T92" i="2" s="1"/>
  <c r="D135" i="2" s="1"/>
  <c r="R93" i="2"/>
  <c r="T93" i="2" s="1"/>
  <c r="D136" i="2" s="1"/>
  <c r="R94" i="2"/>
  <c r="T94" i="2" s="1"/>
  <c r="D137" i="2" s="1"/>
  <c r="R95" i="2"/>
  <c r="T95" i="2" s="1"/>
  <c r="D138" i="2" s="1"/>
  <c r="R91" i="2"/>
  <c r="T91" i="2" s="1"/>
  <c r="D134" i="2" s="1"/>
  <c r="D78" i="2"/>
  <c r="H79" i="2"/>
  <c r="H82" i="2"/>
  <c r="H81" i="2"/>
  <c r="H80" i="2"/>
  <c r="H78" i="2"/>
  <c r="I78" i="2" s="1"/>
  <c r="E92" i="2"/>
  <c r="E103" i="2" s="1"/>
  <c r="E93" i="2"/>
  <c r="E104" i="2" s="1"/>
  <c r="E94" i="2"/>
  <c r="K94" i="2" s="1"/>
  <c r="E95" i="2"/>
  <c r="E106" i="2" s="1"/>
  <c r="E91" i="2"/>
  <c r="E102" i="2" s="1"/>
  <c r="C91" i="2"/>
  <c r="C102" i="2" s="1"/>
  <c r="B91" i="2"/>
  <c r="H91" i="2" s="1"/>
  <c r="B78" i="2"/>
  <c r="G68" i="2"/>
  <c r="G69" i="2"/>
  <c r="G70" i="2"/>
  <c r="G71" i="2"/>
  <c r="G67" i="2"/>
  <c r="B67" i="2"/>
  <c r="D67" i="2" s="1"/>
  <c r="F38" i="2"/>
  <c r="F68" i="2" s="1"/>
  <c r="F39" i="2"/>
  <c r="F69" i="2" s="1"/>
  <c r="F40" i="2"/>
  <c r="D94" i="2" s="1"/>
  <c r="J94" i="2" s="1"/>
  <c r="F41" i="2"/>
  <c r="F71" i="2" s="1"/>
  <c r="F37" i="2"/>
  <c r="F67" i="2" s="1"/>
  <c r="P59" i="2"/>
  <c r="P60" i="2"/>
  <c r="P61" i="2"/>
  <c r="P62" i="2"/>
  <c r="P58" i="2"/>
  <c r="M59" i="2"/>
  <c r="C135" i="2" s="1"/>
  <c r="M60" i="2"/>
  <c r="C136" i="2" s="1"/>
  <c r="M61" i="2"/>
  <c r="C137" i="2" s="1"/>
  <c r="M62" i="2"/>
  <c r="C138" i="2" s="1"/>
  <c r="M58" i="2"/>
  <c r="C134" i="2" s="1"/>
  <c r="K59" i="2"/>
  <c r="G125" i="2" s="1"/>
  <c r="K60" i="2"/>
  <c r="G126" i="2" s="1"/>
  <c r="K61" i="2"/>
  <c r="G127" i="2" s="1"/>
  <c r="K62" i="2"/>
  <c r="G128" i="2" s="1"/>
  <c r="K58" i="2"/>
  <c r="G124" i="2" s="1"/>
  <c r="B58" i="2"/>
  <c r="D58" i="2" s="1"/>
  <c r="N47" i="2"/>
  <c r="N48" i="2"/>
  <c r="N49" i="2"/>
  <c r="N50" i="2"/>
  <c r="N46" i="2"/>
  <c r="M47" i="2"/>
  <c r="B135" i="2" s="1"/>
  <c r="M48" i="2"/>
  <c r="B136" i="2" s="1"/>
  <c r="M49" i="2"/>
  <c r="B137" i="2" s="1"/>
  <c r="M50" i="2"/>
  <c r="B138" i="2" s="1"/>
  <c r="M46" i="2"/>
  <c r="B134" i="2" s="1"/>
  <c r="K47" i="2"/>
  <c r="F125" i="2" s="1"/>
  <c r="K48" i="2"/>
  <c r="F126" i="2" s="1"/>
  <c r="K49" i="2"/>
  <c r="F127" i="2" s="1"/>
  <c r="K50" i="2"/>
  <c r="F128" i="2" s="1"/>
  <c r="K46" i="2"/>
  <c r="F124" i="2" s="1"/>
  <c r="F47" i="2"/>
  <c r="F48" i="2"/>
  <c r="F49" i="2"/>
  <c r="F50" i="2"/>
  <c r="F46" i="2"/>
  <c r="B46" i="2"/>
  <c r="D46" i="2" s="1"/>
  <c r="O41" i="2"/>
  <c r="P41" i="2"/>
  <c r="Q41" i="2"/>
  <c r="N41" i="2"/>
  <c r="O40" i="2"/>
  <c r="P40" i="2"/>
  <c r="Q40" i="2"/>
  <c r="N40" i="2"/>
  <c r="O39" i="2"/>
  <c r="P39" i="2"/>
  <c r="Q39" i="2"/>
  <c r="N39" i="2"/>
  <c r="O38" i="2"/>
  <c r="P38" i="2"/>
  <c r="Q38" i="2"/>
  <c r="N38" i="2"/>
  <c r="O37" i="2"/>
  <c r="P37" i="2"/>
  <c r="Q37" i="2"/>
  <c r="N37" i="2"/>
  <c r="N26" i="2"/>
  <c r="R26" i="2" s="1"/>
  <c r="N27" i="2"/>
  <c r="R27" i="2" s="1"/>
  <c r="B126" i="2" s="1"/>
  <c r="N28" i="2"/>
  <c r="R28" i="2" s="1"/>
  <c r="B127" i="2" s="1"/>
  <c r="N29" i="2"/>
  <c r="R29" i="2" s="1"/>
  <c r="B128" i="2" s="1"/>
  <c r="N25" i="2"/>
  <c r="R25" i="2" s="1"/>
  <c r="C8" i="2"/>
  <c r="J26" i="2" s="1"/>
  <c r="C9" i="2"/>
  <c r="J27" i="2" s="1"/>
  <c r="C10" i="2"/>
  <c r="J28" i="2" s="1"/>
  <c r="C11" i="2"/>
  <c r="J29" i="2" s="1"/>
  <c r="C7" i="2"/>
  <c r="J25" i="2" s="1"/>
  <c r="F134" i="2" l="1"/>
  <c r="B95" i="2"/>
  <c r="B106" i="2" s="1"/>
  <c r="R38" i="2"/>
  <c r="D25" i="2"/>
  <c r="H25" i="2" s="1"/>
  <c r="R40" i="2"/>
  <c r="P49" i="2" s="1"/>
  <c r="R39" i="2"/>
  <c r="P48" i="2" s="1"/>
  <c r="R41" i="2"/>
  <c r="B68" i="2"/>
  <c r="D68" i="2" s="1"/>
  <c r="R37" i="2"/>
  <c r="P46" i="2" s="1"/>
  <c r="B92" i="2"/>
  <c r="B103" i="2" s="1"/>
  <c r="H67" i="2"/>
  <c r="G115" i="2"/>
  <c r="I115" i="2" s="1"/>
  <c r="D126" i="2" s="1"/>
  <c r="B124" i="2"/>
  <c r="B125" i="2"/>
  <c r="I80" i="2"/>
  <c r="F136" i="2" s="1"/>
  <c r="K91" i="2"/>
  <c r="I82" i="2"/>
  <c r="I91" i="2"/>
  <c r="K93" i="2"/>
  <c r="D105" i="2"/>
  <c r="I79" i="2"/>
  <c r="E105" i="2"/>
  <c r="I81" i="2"/>
  <c r="K92" i="2"/>
  <c r="K95" i="2"/>
  <c r="T96" i="2"/>
  <c r="B102" i="2"/>
  <c r="F70" i="2"/>
  <c r="D92" i="2"/>
  <c r="D93" i="2"/>
  <c r="D91" i="2"/>
  <c r="P47" i="2"/>
  <c r="D95" i="2"/>
  <c r="K51" i="2"/>
  <c r="M51" i="2"/>
  <c r="R30" i="2"/>
  <c r="F25" i="2"/>
  <c r="F135" i="2" l="1"/>
  <c r="I83" i="2"/>
  <c r="H95" i="2"/>
  <c r="P50" i="2"/>
  <c r="H92" i="2"/>
  <c r="E68" i="2"/>
  <c r="H68" i="2" s="1"/>
  <c r="G116" i="2"/>
  <c r="I116" i="2" s="1"/>
  <c r="D127" i="2" s="1"/>
  <c r="B26" i="2"/>
  <c r="B114" i="2"/>
  <c r="D114" i="2" s="1"/>
  <c r="E125" i="2" s="1"/>
  <c r="C92" i="2"/>
  <c r="B79" i="2"/>
  <c r="B59" i="2"/>
  <c r="D59" i="2" s="1"/>
  <c r="B47" i="2"/>
  <c r="D47" i="2" s="1"/>
  <c r="B27" i="2"/>
  <c r="B115" i="2"/>
  <c r="D115" i="2" s="1"/>
  <c r="E126" i="2" s="1"/>
  <c r="C93" i="2"/>
  <c r="B60" i="2"/>
  <c r="D60" i="2" s="1"/>
  <c r="B48" i="2"/>
  <c r="D48" i="2" s="1"/>
  <c r="B93" i="2"/>
  <c r="B80" i="2"/>
  <c r="B69" i="2"/>
  <c r="D69" i="2" s="1"/>
  <c r="B94" i="2"/>
  <c r="B70" i="2"/>
  <c r="D70" i="2" s="1"/>
  <c r="F138" i="2"/>
  <c r="F137" i="2"/>
  <c r="D106" i="2"/>
  <c r="J95" i="2"/>
  <c r="D102" i="2"/>
  <c r="F102" i="2" s="1"/>
  <c r="J91" i="2"/>
  <c r="L91" i="2" s="1"/>
  <c r="D104" i="2"/>
  <c r="J93" i="2"/>
  <c r="J92" i="2"/>
  <c r="D103" i="2"/>
  <c r="B7" i="2"/>
  <c r="M25" i="2"/>
  <c r="Q25" i="2" s="1"/>
  <c r="S25" i="2" s="1"/>
  <c r="D26" i="2" l="1"/>
  <c r="B201" i="2"/>
  <c r="D27" i="2"/>
  <c r="H27" i="2" s="1"/>
  <c r="B202" i="2"/>
  <c r="E69" i="2"/>
  <c r="H69" i="2" s="1"/>
  <c r="I92" i="2"/>
  <c r="L92" i="2" s="1"/>
  <c r="C103" i="2"/>
  <c r="F103" i="2" s="1"/>
  <c r="E135" i="2" s="1"/>
  <c r="G135" i="2" s="1"/>
  <c r="F26" i="2"/>
  <c r="H26" i="2"/>
  <c r="G117" i="2"/>
  <c r="I117" i="2" s="1"/>
  <c r="D128" i="2" s="1"/>
  <c r="B105" i="2"/>
  <c r="H94" i="2"/>
  <c r="H93" i="2"/>
  <c r="B104" i="2"/>
  <c r="B28" i="2"/>
  <c r="B116" i="2"/>
  <c r="D116" i="2" s="1"/>
  <c r="E127" i="2" s="1"/>
  <c r="C94" i="2"/>
  <c r="B61" i="2"/>
  <c r="D61" i="2" s="1"/>
  <c r="B49" i="2"/>
  <c r="D49" i="2" s="1"/>
  <c r="C104" i="2"/>
  <c r="I93" i="2"/>
  <c r="F27" i="2"/>
  <c r="C124" i="2"/>
  <c r="H124" i="2" s="1"/>
  <c r="E134" i="2"/>
  <c r="G134" i="2" s="1"/>
  <c r="C145" i="2" l="1"/>
  <c r="D201" i="2"/>
  <c r="B144" i="2"/>
  <c r="C200" i="2"/>
  <c r="D28" i="2"/>
  <c r="F28" i="2" s="1"/>
  <c r="B203" i="2"/>
  <c r="C144" i="2"/>
  <c r="D200" i="2"/>
  <c r="E71" i="2"/>
  <c r="H71" i="2" s="1"/>
  <c r="E70" i="2"/>
  <c r="H70" i="2" s="1"/>
  <c r="B29" i="2"/>
  <c r="K145" i="2"/>
  <c r="B117" i="2"/>
  <c r="D117" i="2" s="1"/>
  <c r="E128" i="2" s="1"/>
  <c r="C95" i="2"/>
  <c r="B82" i="2"/>
  <c r="B62" i="2"/>
  <c r="D62" i="2" s="1"/>
  <c r="B50" i="2"/>
  <c r="D50" i="2" s="1"/>
  <c r="B81" i="2"/>
  <c r="M26" i="2"/>
  <c r="Q26" i="2" s="1"/>
  <c r="B8" i="2"/>
  <c r="M27" i="2"/>
  <c r="Q27" i="2" s="1"/>
  <c r="S27" i="2" s="1"/>
  <c r="B9" i="2"/>
  <c r="I94" i="2"/>
  <c r="L94" i="2" s="1"/>
  <c r="C105" i="2"/>
  <c r="F105" i="2" s="1"/>
  <c r="E137" i="2" s="1"/>
  <c r="G137" i="2" s="1"/>
  <c r="F104" i="2"/>
  <c r="L93" i="2"/>
  <c r="D144" i="2" l="1"/>
  <c r="D29" i="2"/>
  <c r="B204" i="2"/>
  <c r="C147" i="2"/>
  <c r="D203" i="2"/>
  <c r="H28" i="2"/>
  <c r="C125" i="2"/>
  <c r="H125" i="2" s="1"/>
  <c r="S26" i="2"/>
  <c r="C106" i="2"/>
  <c r="F106" i="2" s="1"/>
  <c r="E138" i="2" s="1"/>
  <c r="G138" i="2" s="1"/>
  <c r="I95" i="2"/>
  <c r="L95" i="2" s="1"/>
  <c r="H29" i="2"/>
  <c r="F29" i="2"/>
  <c r="E136" i="2"/>
  <c r="G136" i="2" s="1"/>
  <c r="B10" i="2"/>
  <c r="M28" i="2"/>
  <c r="Q28" i="2" s="1"/>
  <c r="C126" i="2"/>
  <c r="H126" i="2" s="1"/>
  <c r="E200" i="2" l="1"/>
  <c r="C148" i="2"/>
  <c r="D204" i="2"/>
  <c r="B145" i="2"/>
  <c r="D145" i="2" s="1"/>
  <c r="C201" i="2"/>
  <c r="B146" i="2"/>
  <c r="C202" i="2"/>
  <c r="F107" i="2"/>
  <c r="C146" i="2"/>
  <c r="D202" i="2"/>
  <c r="M29" i="2"/>
  <c r="Q29" i="2" s="1"/>
  <c r="B11" i="2"/>
  <c r="C127" i="2"/>
  <c r="H127" i="2" s="1"/>
  <c r="S28" i="2"/>
  <c r="E201" i="2" l="1"/>
  <c r="D146" i="2"/>
  <c r="B147" i="2"/>
  <c r="D147" i="2" s="1"/>
  <c r="E203" i="2" s="1"/>
  <c r="C203" i="2"/>
  <c r="C128" i="2"/>
  <c r="H128" i="2" s="1"/>
  <c r="S29" i="2"/>
  <c r="Q30" i="2"/>
  <c r="Q31" i="2" s="1"/>
  <c r="E202" i="2" l="1"/>
  <c r="B148" i="2"/>
  <c r="D148" i="2" s="1"/>
  <c r="D149" i="2" s="1"/>
  <c r="C204" i="2"/>
  <c r="E204" i="2" l="1"/>
</calcChain>
</file>

<file path=xl/sharedStrings.xml><?xml version="1.0" encoding="utf-8"?>
<sst xmlns="http://schemas.openxmlformats.org/spreadsheetml/2006/main" count="1126" uniqueCount="459">
  <si>
    <t>FARM PLANNING</t>
  </si>
  <si>
    <t>AGE</t>
  </si>
  <si>
    <t>&lt;=</t>
  </si>
  <si>
    <t>BULLOCKS</t>
  </si>
  <si>
    <t>HEIFER SOLD</t>
  </si>
  <si>
    <t>HEIFER</t>
  </si>
  <si>
    <t>HEIFER REARED</t>
  </si>
  <si>
    <t>CURRENT YEAR</t>
  </si>
  <si>
    <t>YEAR 1</t>
  </si>
  <si>
    <t>YEAR 2</t>
  </si>
  <si>
    <t>YEAR 3</t>
  </si>
  <si>
    <t>YEAR 4</t>
  </si>
  <si>
    <t>YEAR 5</t>
  </si>
  <si>
    <t>NO OF COWS</t>
  </si>
  <si>
    <t>CONSTRAINT</t>
  </si>
  <si>
    <t>=</t>
  </si>
  <si>
    <t>TOTAL HEIFER</t>
  </si>
  <si>
    <t>CALCULATION OF NO OF CALVES IN EVERY YEAR</t>
  </si>
  <si>
    <t xml:space="preserve">PROBABILITY OF  BULLOCKS WHICH WERE CALVES </t>
  </si>
  <si>
    <t>NO OF CALVES PER COW</t>
  </si>
  <si>
    <t>NO OF COWS IN A YEAR</t>
  </si>
  <si>
    <t>TOTAL CALVES</t>
  </si>
  <si>
    <t xml:space="preserve">PROBABILITY OF  HEIFER WHICH WERE CALVES </t>
  </si>
  <si>
    <t>NO OF BULLOCKS WHICH WERE CALVES</t>
  </si>
  <si>
    <t>NO OF HEIFER WHICH WERE CALVES</t>
  </si>
  <si>
    <t>TOTAL HEIFERS WHICH WERE SOLD AND REARED</t>
  </si>
  <si>
    <t xml:space="preserve">YEAR 3 </t>
  </si>
  <si>
    <t>NO OF BULLOCKS SOLD</t>
  </si>
  <si>
    <t>NO OF HEIFER SOLD</t>
  </si>
  <si>
    <t>PROFIT PER HEIFER</t>
  </si>
  <si>
    <t xml:space="preserve">PROFIT PER BULLOCKS </t>
  </si>
  <si>
    <t>TOTAL PROFIT IN SELLING BULLOCKS IN A YEAR</t>
  </si>
  <si>
    <t>TOTAL PROFIT IN SELLING HEIFER IN A YEAR</t>
  </si>
  <si>
    <t>TOTAL</t>
  </si>
  <si>
    <t>ACCOMMODATION</t>
  </si>
  <si>
    <t>GROUP</t>
  </si>
  <si>
    <t>YEAR</t>
  </si>
  <si>
    <t>GROUP 1</t>
  </si>
  <si>
    <t>GROUP 2</t>
  </si>
  <si>
    <t>GROUP 3</t>
  </si>
  <si>
    <t>GROUP 4</t>
  </si>
  <si>
    <t>CULTIVATION PER ACRE IN TONS</t>
  </si>
  <si>
    <t xml:space="preserve">GROUP 1 </t>
  </si>
  <si>
    <t>GRAIN GROWN IN TONS</t>
  </si>
  <si>
    <t>YEARS</t>
  </si>
  <si>
    <t>NO OF COWS IN EACH YEAR</t>
  </si>
  <si>
    <t>NO OF GRAIN NEED FOR A COW IN TON</t>
  </si>
  <si>
    <t>GRAIN GROWN OR BOUGHT</t>
  </si>
  <si>
    <t>GRAIN BOUGHT</t>
  </si>
  <si>
    <t>GRAIN SOLD</t>
  </si>
  <si>
    <t>PROFIT PER TON ON SELLING GRAIN</t>
  </si>
  <si>
    <t xml:space="preserve">COST TO BUY GRAIN PER TON </t>
  </si>
  <si>
    <t>COST TO BUY GRAIN IN A YEAR</t>
  </si>
  <si>
    <t>GRAIN WHICH WERE GROWN IN A YEAR</t>
  </si>
  <si>
    <t>TOTAL COST IN BUYING GRAIN</t>
  </si>
  <si>
    <t>TOTAL PROFIT IN SELLING GRAIN</t>
  </si>
  <si>
    <t>GRAIN CONSUMPTION</t>
  </si>
  <si>
    <t>SUGAR BEET CONSUMPTION</t>
  </si>
  <si>
    <t>SUGAR BEET NEED PER COW IN TON</t>
  </si>
  <si>
    <t>SUGAR BEET NEEDED IN A YEAR</t>
  </si>
  <si>
    <t>SUGAR BEET BOUGHT AND PRODUCED</t>
  </si>
  <si>
    <t>SUGAR BEET BROUGHT</t>
  </si>
  <si>
    <t>SUGAR BEET GROWN</t>
  </si>
  <si>
    <t>SUGAR BEET SOLD</t>
  </si>
  <si>
    <t>PROFIT PER TON ON SELLING SUGAR BEET</t>
  </si>
  <si>
    <t>PROFIT ON SELLIGN SUGAR BEET IN A YEAR</t>
  </si>
  <si>
    <t>COST TO BUY SUGAR BEET PER TON</t>
  </si>
  <si>
    <t>COST TO BUY SUGAR BEET IN A YEAR</t>
  </si>
  <si>
    <t>SUGAR BEET GROWN PER ACRE</t>
  </si>
  <si>
    <t>NO OF ACRE USED TO GROW SUGAR BEET IN A YEAR</t>
  </si>
  <si>
    <t>NO OF HEIFERS IN A YEAR</t>
  </si>
  <si>
    <t>PERCENTAGE OF ACRE NEEDED FOR HEIFER</t>
  </si>
  <si>
    <t>ACREAGE</t>
  </si>
  <si>
    <t>NO OF ACRE NEEDED FOR HEIFERS IN A YEAR</t>
  </si>
  <si>
    <t>NO OF ACRE USED TO GROW GRAIN IN A YEAR</t>
  </si>
  <si>
    <t>TOTAL ACRE USED</t>
  </si>
  <si>
    <t>INITIAL CAPACITY</t>
  </si>
  <si>
    <t>ADDITIONAL CAPACITY</t>
  </si>
  <si>
    <t>COST FOR ADDITIONAL CAPACITY</t>
  </si>
  <si>
    <t>LABOUR</t>
  </si>
  <si>
    <t>COW</t>
  </si>
  <si>
    <t>COST PER UNIT</t>
  </si>
  <si>
    <t>NO OF HEIFERS</t>
  </si>
  <si>
    <t>NO OF ACRES USED FOR GRAIN</t>
  </si>
  <si>
    <t>NO OF ACRES USED FOR SUGAR BEET</t>
  </si>
  <si>
    <t>LABOUR NEEDED FOR HEIFERS IN A YEAR</t>
  </si>
  <si>
    <t>LABOUR NEEDED FOR COWS IN A YEAR</t>
  </si>
  <si>
    <t>LABOUR NEEDED TO GROW GRAIN IN A YEAR</t>
  </si>
  <si>
    <t>LABOUR NEEDED TO GROW SUGAR BEET IN A YEAR</t>
  </si>
  <si>
    <t>TOTAL CAPACITY</t>
  </si>
  <si>
    <t>TOTAL LABOUR AVAILABLE</t>
  </si>
  <si>
    <t>INITIAL CAPACITY OF LABOUR</t>
  </si>
  <si>
    <t>ADDITIONAL LABOUR NEEDED</t>
  </si>
  <si>
    <t>ADDITIONAL LABOUR COST PER HOUR</t>
  </si>
  <si>
    <t>ADDITIONAL LABOUR COST IN A YEAR</t>
  </si>
  <si>
    <t>INITIAL CAPACITY COST</t>
  </si>
  <si>
    <t xml:space="preserve">TOTAL COST </t>
  </si>
  <si>
    <t>TOTAL COST IN LABOUR</t>
  </si>
  <si>
    <t>OTHER COST</t>
  </si>
  <si>
    <t>GRAIN COST</t>
  </si>
  <si>
    <t>SUGAR BEET COST</t>
  </si>
  <si>
    <t>TOTAL COST</t>
  </si>
  <si>
    <t>TOTAL OTHER COST</t>
  </si>
  <si>
    <t>PROFIT FROM MILK</t>
  </si>
  <si>
    <t>PROFIT PER COW</t>
  </si>
  <si>
    <t>TOTAL PROFIT FROM MILK IN A YEAR</t>
  </si>
  <si>
    <t>PROFIT FROM SELLING 12 YEAR OLD DAIRY COWS</t>
  </si>
  <si>
    <t>NO OF COWS IN 12 YEARS OLD</t>
  </si>
  <si>
    <t>PROFIT PER COW ON SELLING OLD COWS</t>
  </si>
  <si>
    <t>TOTAL PROFIT ON SELLING DAIRY COWS IN A YEAR</t>
  </si>
  <si>
    <t>PROFIT</t>
  </si>
  <si>
    <t>EXPENDITURE</t>
  </si>
  <si>
    <t>BUYING GRAIN</t>
  </si>
  <si>
    <t>BUYING SUGAR BEET</t>
  </si>
  <si>
    <t>LABOUR COST</t>
  </si>
  <si>
    <t>REVENUE</t>
  </si>
  <si>
    <t xml:space="preserve">PROFIT </t>
  </si>
  <si>
    <t>&gt;=</t>
  </si>
  <si>
    <t>TOTAL PROFIT</t>
  </si>
  <si>
    <t>NO OF ACRE NEED FOR COWS IN A YEAR</t>
  </si>
  <si>
    <t>DAIRY COWS</t>
  </si>
  <si>
    <t>OLD COWS</t>
  </si>
  <si>
    <t>PERCENTAGE OF SURVIVAL FOR HEIFERS AND DAIRY COWS</t>
  </si>
  <si>
    <t>PROFIT ON SELLING CALVES</t>
  </si>
  <si>
    <t>TOTAL PROFIT ON SELLING CALVES</t>
  </si>
  <si>
    <t>GRAIN GROWN IN ACRES</t>
  </si>
  <si>
    <t>NO OF DAIRY COWS IN EACH YEAR</t>
  </si>
  <si>
    <t>NO OF GRAIN IN TONS NEED IN A YEAR</t>
  </si>
  <si>
    <t>GRAIN GROWN USED TO FEED COW</t>
  </si>
  <si>
    <t>PROFIT OF SELLING GRAINS IN A YEAR</t>
  </si>
  <si>
    <t>SUM OF GRAIN GROWN USED FOR COW AND GRAIN SOLD</t>
  </si>
  <si>
    <t>SUGAR BEET GROWN USED FOR COW AND SUGAR BEET SOLD</t>
  </si>
  <si>
    <t>COST PER  ADDITIONAL CAPACITY</t>
  </si>
  <si>
    <t>CAPITAL OUTLAY COST</t>
  </si>
  <si>
    <t>CAPITAL OUTLAY YEARLY COST</t>
  </si>
  <si>
    <t>LABOUR IN HOURS PER UNIT</t>
  </si>
  <si>
    <t>REVENUE FROM SELLING HEIFERS</t>
  </si>
  <si>
    <t>REVENUE FROM SELLING BULLOCKS</t>
  </si>
  <si>
    <t>REVENUE FROM SELLING OLD COWS</t>
  </si>
  <si>
    <t>REVENUE FROM SELLING MILK</t>
  </si>
  <si>
    <t>REVENUE FROM SELLING GRAIN</t>
  </si>
  <si>
    <t>REVENUE FROM SELLING SUGAR BEET</t>
  </si>
  <si>
    <t>TOTAL REVENUE IN A YEAR</t>
  </si>
  <si>
    <t>TOTAL EXPENDITURE</t>
  </si>
  <si>
    <t>NO OF DAIRY COWS AT THE END OF 5 YEARS</t>
  </si>
  <si>
    <t>Year</t>
  </si>
  <si>
    <t>Year 5</t>
  </si>
  <si>
    <t>NO OF DAIRY COWS</t>
  </si>
  <si>
    <t>Data used to Display Graph</t>
  </si>
  <si>
    <t>Microsoft Excel 16.0 Sensitivity Report</t>
  </si>
  <si>
    <t>Worksheet: [FARM_PLANNING (2).xlsm]Sheet2</t>
  </si>
  <si>
    <t>Report Created: 08/01/2023 12:35:22</t>
  </si>
  <si>
    <t>Variable Cells</t>
  </si>
  <si>
    <t>Cell</t>
  </si>
  <si>
    <t>Name</t>
  </si>
  <si>
    <t>Final</t>
  </si>
  <si>
    <t>Value</t>
  </si>
  <si>
    <t>Reduced</t>
  </si>
  <si>
    <t>Cost</t>
  </si>
  <si>
    <t>Objective</t>
  </si>
  <si>
    <t>Coefficient</t>
  </si>
  <si>
    <t>Allowable</t>
  </si>
  <si>
    <t>Increase</t>
  </si>
  <si>
    <t>Decrease</t>
  </si>
  <si>
    <t>Constraints</t>
  </si>
  <si>
    <t>Shadow</t>
  </si>
  <si>
    <t>Price</t>
  </si>
  <si>
    <t>Constraint</t>
  </si>
  <si>
    <t>R.H. Side</t>
  </si>
  <si>
    <t>$D$7</t>
  </si>
  <si>
    <t>YEAR 1 HEIFER SOLD</t>
  </si>
  <si>
    <t>$E$7</t>
  </si>
  <si>
    <t>YEAR 1 HEIFER REARED</t>
  </si>
  <si>
    <t>$D$8</t>
  </si>
  <si>
    <t>YEAR 2 HEIFER SOLD</t>
  </si>
  <si>
    <t>$E$8</t>
  </si>
  <si>
    <t>YEAR 2 HEIFER REARED</t>
  </si>
  <si>
    <t>$D$9</t>
  </si>
  <si>
    <t>YEAR 3 HEIFER SOLD</t>
  </si>
  <si>
    <t>$E$9</t>
  </si>
  <si>
    <t>YEAR 3 HEIFER REARED</t>
  </si>
  <si>
    <t>$D$10</t>
  </si>
  <si>
    <t>YEAR 4 HEIFER SOLD</t>
  </si>
  <si>
    <t>$E$10</t>
  </si>
  <si>
    <t>YEAR 4 HEIFER REARED</t>
  </si>
  <si>
    <t>$D$11</t>
  </si>
  <si>
    <t>YEAR 5 HEIFER SOLD</t>
  </si>
  <si>
    <t>$E$11</t>
  </si>
  <si>
    <t>YEAR 5 HEIFER REARED</t>
  </si>
  <si>
    <t>$B$37</t>
  </si>
  <si>
    <t>YEAR 1 GROUP 1</t>
  </si>
  <si>
    <t>$C$37</t>
  </si>
  <si>
    <t>YEAR 1 GROUP 2</t>
  </si>
  <si>
    <t>$D$37</t>
  </si>
  <si>
    <t>YEAR 1 GROUP 3</t>
  </si>
  <si>
    <t>$E$37</t>
  </si>
  <si>
    <t>YEAR 1 GROUP 4</t>
  </si>
  <si>
    <t>$B$38</t>
  </si>
  <si>
    <t>YEAR 2 GROUP 1</t>
  </si>
  <si>
    <t>$C$38</t>
  </si>
  <si>
    <t>YEAR 2 GROUP 2</t>
  </si>
  <si>
    <t>$D$38</t>
  </si>
  <si>
    <t>YEAR 2 GROUP 3</t>
  </si>
  <si>
    <t>$E$38</t>
  </si>
  <si>
    <t>YEAR 2 GROUP 4</t>
  </si>
  <si>
    <t>$B$39</t>
  </si>
  <si>
    <t>YEAR 3 GROUP 1</t>
  </si>
  <si>
    <t>$C$39</t>
  </si>
  <si>
    <t>YEAR 3 GROUP 2</t>
  </si>
  <si>
    <t>$D$39</t>
  </si>
  <si>
    <t>YEAR 3 GROUP 3</t>
  </si>
  <si>
    <t>$E$39</t>
  </si>
  <si>
    <t>YEAR 3 GROUP 4</t>
  </si>
  <si>
    <t>$B$40</t>
  </si>
  <si>
    <t>YEAR 4 GROUP 1</t>
  </si>
  <si>
    <t>$C$40</t>
  </si>
  <si>
    <t>YEAR 4 GROUP 2</t>
  </si>
  <si>
    <t>$D$40</t>
  </si>
  <si>
    <t>YEAR 4 GROUP 3</t>
  </si>
  <si>
    <t>$E$40</t>
  </si>
  <si>
    <t>YEAR 4 GROUP 4</t>
  </si>
  <si>
    <t>$B$41</t>
  </si>
  <si>
    <t>YEAR 5 GROUP 1</t>
  </si>
  <si>
    <t>$C$41</t>
  </si>
  <si>
    <t>YEAR 5 GROUP 2</t>
  </si>
  <si>
    <t>$D$41</t>
  </si>
  <si>
    <t>YEAR 5 GROUP 3</t>
  </si>
  <si>
    <t>$E$41</t>
  </si>
  <si>
    <t>YEAR 5 GROUP 4</t>
  </si>
  <si>
    <t>$G$46</t>
  </si>
  <si>
    <t>&lt;= GRAIN BOUGHT</t>
  </si>
  <si>
    <t>$H$46</t>
  </si>
  <si>
    <t>&lt;= GRAIN GROWN USED TO FEED COW</t>
  </si>
  <si>
    <t>$I$46</t>
  </si>
  <si>
    <t>&lt;= GRAIN SOLD</t>
  </si>
  <si>
    <t>$G$47</t>
  </si>
  <si>
    <t>$H$47</t>
  </si>
  <si>
    <t>$I$47</t>
  </si>
  <si>
    <t>$G$48</t>
  </si>
  <si>
    <t>$H$48</t>
  </si>
  <si>
    <t>$I$48</t>
  </si>
  <si>
    <t>$G$49</t>
  </si>
  <si>
    <t>$H$49</t>
  </si>
  <si>
    <t>$I$49</t>
  </si>
  <si>
    <t>$G$50</t>
  </si>
  <si>
    <t>$H$50</t>
  </si>
  <si>
    <t>$I$50</t>
  </si>
  <si>
    <t>$G$58</t>
  </si>
  <si>
    <t>&lt;= SUGAR BEET BROUGHT</t>
  </si>
  <si>
    <t>$H$58</t>
  </si>
  <si>
    <t>&lt;= SUGAR BEET GROWN</t>
  </si>
  <si>
    <t>$I$58</t>
  </si>
  <si>
    <t>&lt;= SUGAR BEET SOLD</t>
  </si>
  <si>
    <t>$G$59</t>
  </si>
  <si>
    <t>$H$59</t>
  </si>
  <si>
    <t>$I$59</t>
  </si>
  <si>
    <t>$G$60</t>
  </si>
  <si>
    <t>$H$60</t>
  </si>
  <si>
    <t>$I$60</t>
  </si>
  <si>
    <t>$G$61</t>
  </si>
  <si>
    <t>$H$61</t>
  </si>
  <si>
    <t>$I$61</t>
  </si>
  <si>
    <t>$G$62</t>
  </si>
  <si>
    <t>$H$62</t>
  </si>
  <si>
    <t>$I$62</t>
  </si>
  <si>
    <t>$R$58</t>
  </si>
  <si>
    <t>= NO OF ACRE USED TO GROW SUGAR BEET IN A YEAR</t>
  </si>
  <si>
    <t>$R$59</t>
  </si>
  <si>
    <t>$R$60</t>
  </si>
  <si>
    <t>$R$61</t>
  </si>
  <si>
    <t>$R$62</t>
  </si>
  <si>
    <t>$F$78</t>
  </si>
  <si>
    <t>&lt;= ADDITIONAL CAPACITY</t>
  </si>
  <si>
    <t>$F$79</t>
  </si>
  <si>
    <t>$F$80</t>
  </si>
  <si>
    <t>$F$81</t>
  </si>
  <si>
    <t>$F$82</t>
  </si>
  <si>
    <t>$P$91</t>
  </si>
  <si>
    <t>&lt;= ADDITIONAL LABOUR NEEDED</t>
  </si>
  <si>
    <t>$P$92</t>
  </si>
  <si>
    <t>$P$93</t>
  </si>
  <si>
    <t>$P$94</t>
  </si>
  <si>
    <t>$P$95</t>
  </si>
  <si>
    <t>$B$78</t>
  </si>
  <si>
    <t>YEAR 1 NO OF COWS</t>
  </si>
  <si>
    <t>$B$79</t>
  </si>
  <si>
    <t>YEAR 2 NO OF COWS</t>
  </si>
  <si>
    <t>$B$80</t>
  </si>
  <si>
    <t>YEAR 3 NO OF COWS</t>
  </si>
  <si>
    <t>$B$81</t>
  </si>
  <si>
    <t>YEAR 4 NO OF COWS</t>
  </si>
  <si>
    <t>$B$82</t>
  </si>
  <si>
    <t>YEAR 5 NO OF COWS</t>
  </si>
  <si>
    <t>$D$144</t>
  </si>
  <si>
    <t>YEAR 1 PROFIT</t>
  </si>
  <si>
    <t>$D$145</t>
  </si>
  <si>
    <t>YEAR 2 PROFIT</t>
  </si>
  <si>
    <t>$D$146</t>
  </si>
  <si>
    <t>YEAR 3 PROFIT</t>
  </si>
  <si>
    <t>$D$147</t>
  </si>
  <si>
    <t>YEAR 4 PROFIT</t>
  </si>
  <si>
    <t>$D$148</t>
  </si>
  <si>
    <t>YEAR 5 PROFIT</t>
  </si>
  <si>
    <t>$D$46</t>
  </si>
  <si>
    <t>YEAR 1 NO OF GRAIN IN TONS NEED IN A YEAR</t>
  </si>
  <si>
    <t>$D$47</t>
  </si>
  <si>
    <t>YEAR 2 NO OF GRAIN IN TONS NEED IN A YEAR</t>
  </si>
  <si>
    <t>$D$48</t>
  </si>
  <si>
    <t>YEAR 3 NO OF GRAIN IN TONS NEED IN A YEAR</t>
  </si>
  <si>
    <t>$D$49</t>
  </si>
  <si>
    <t>YEAR 4 NO OF GRAIN IN TONS NEED IN A YEAR</t>
  </si>
  <si>
    <t>$D$50</t>
  </si>
  <si>
    <t>YEAR 5 NO OF GRAIN IN TONS NEED IN A YEAR</t>
  </si>
  <si>
    <t>$D$58</t>
  </si>
  <si>
    <t>YEAR 1 SUGAR BEET NEEDED IN A YEAR</t>
  </si>
  <si>
    <t>$D$59</t>
  </si>
  <si>
    <t>YEAR 2 SUGAR BEET NEEDED IN A YEAR</t>
  </si>
  <si>
    <t>$D$60</t>
  </si>
  <si>
    <t>YEAR 3 SUGAR BEET NEEDED IN A YEAR</t>
  </si>
  <si>
    <t>$D$61</t>
  </si>
  <si>
    <t>YEAR 4 SUGAR BEET NEEDED IN A YEAR</t>
  </si>
  <si>
    <t>$D$62</t>
  </si>
  <si>
    <t>YEAR 5 SUGAR BEET NEEDED IN A YEAR</t>
  </si>
  <si>
    <t>$H$25</t>
  </si>
  <si>
    <t>YEAR 1 NO OF HEIFER WHICH WERE CALVES</t>
  </si>
  <si>
    <t>$H$26</t>
  </si>
  <si>
    <t>YEAR 2 NO OF HEIFER WHICH WERE CALVES</t>
  </si>
  <si>
    <t>$H$27</t>
  </si>
  <si>
    <t>YEAR 3 NO OF HEIFER WHICH WERE CALVES</t>
  </si>
  <si>
    <t>$H$28</t>
  </si>
  <si>
    <t>YEAR 4 NO OF HEIFER WHICH WERE CALVES</t>
  </si>
  <si>
    <t>$H$29</t>
  </si>
  <si>
    <t>YEAR 5 NO OF HEIFER WHICH WERE CALVES</t>
  </si>
  <si>
    <t>$H$67</t>
  </si>
  <si>
    <t>YEAR 1 TOTAL ACRE USED</t>
  </si>
  <si>
    <t>$H$68</t>
  </si>
  <si>
    <t>YEAR 2 TOTAL ACRE USED</t>
  </si>
  <si>
    <t>$H$69</t>
  </si>
  <si>
    <t>YEAR 3 TOTAL ACRE USED</t>
  </si>
  <si>
    <t>$H$70</t>
  </si>
  <si>
    <t>YEAR 4 TOTAL ACRE USED</t>
  </si>
  <si>
    <t>$H$71</t>
  </si>
  <si>
    <t>YEAR 5 TOTAL ACRE USED</t>
  </si>
  <si>
    <t>$K$145</t>
  </si>
  <si>
    <t>&lt;= LABOUR NEEDED TO GROW SUGAR BEET IN A YEAR</t>
  </si>
  <si>
    <t>$L$91</t>
  </si>
  <si>
    <t>YEAR 1 TOTAL</t>
  </si>
  <si>
    <t>$L$92</t>
  </si>
  <si>
    <t>YEAR 2 TOTAL</t>
  </si>
  <si>
    <t>$L$93</t>
  </si>
  <si>
    <t>YEAR 3 TOTAL</t>
  </si>
  <si>
    <t>$L$94</t>
  </si>
  <si>
    <t>YEAR 4 TOTAL</t>
  </si>
  <si>
    <t>$L$95</t>
  </si>
  <si>
    <t>YEAR 5 TOTAL</t>
  </si>
  <si>
    <t>$N$46</t>
  </si>
  <si>
    <t>&lt;= SUM OF GRAIN GROWN USED FOR COW AND GRAIN SOLD</t>
  </si>
  <si>
    <t>$N$47</t>
  </si>
  <si>
    <t>$N$48</t>
  </si>
  <si>
    <t>$N$49</t>
  </si>
  <si>
    <t>$N$50</t>
  </si>
  <si>
    <t>$N$58</t>
  </si>
  <si>
    <t>&lt;= SUGAR BEET GROWN USED FOR COW AND SUGAR BEET SOLD</t>
  </si>
  <si>
    <t>$N$59</t>
  </si>
  <si>
    <t>$N$60</t>
  </si>
  <si>
    <t>$N$61</t>
  </si>
  <si>
    <t>$N$62</t>
  </si>
  <si>
    <t xml:space="preserve">Total outlay cost </t>
  </si>
  <si>
    <t>(4+year)</t>
  </si>
  <si>
    <t>Microsoft Excel 16.0 Answer Report</t>
  </si>
  <si>
    <t>Report Created: 08/01/2023 16:11:12</t>
  </si>
  <si>
    <t>Result: Solver found a solution.  All Constraints and optimality conditions are satisfied.</t>
  </si>
  <si>
    <t>Solver Engine</t>
  </si>
  <si>
    <t>Engine: Simplex LP</t>
  </si>
  <si>
    <t>Solution Time: 0.062 Seconds.</t>
  </si>
  <si>
    <t>Iterations: 47 Subproblems: 0</t>
  </si>
  <si>
    <t>Solver Options</t>
  </si>
  <si>
    <t>Max Time Unlimited,  Iterations Unlimited, Precision 0.000001</t>
  </si>
  <si>
    <t>Max Subproblems Unlimited, Max Integer Sols Unlimited, Integer Tolerance 5%, Assume NonNegative</t>
  </si>
  <si>
    <t>Objective Cell (Max)</t>
  </si>
  <si>
    <t>Original Value</t>
  </si>
  <si>
    <t>Final Value</t>
  </si>
  <si>
    <t>Integer</t>
  </si>
  <si>
    <t>Cell Value</t>
  </si>
  <si>
    <t>Formula</t>
  </si>
  <si>
    <t>Status</t>
  </si>
  <si>
    <t>Slack</t>
  </si>
  <si>
    <t>$D$149</t>
  </si>
  <si>
    <t>TOTAL PROFIT PROFIT</t>
  </si>
  <si>
    <t>Contin</t>
  </si>
  <si>
    <t>$B$78&lt;=$D$78</t>
  </si>
  <si>
    <t>Binding</t>
  </si>
  <si>
    <t>$B$79&lt;=$D$79</t>
  </si>
  <si>
    <t>Not Binding</t>
  </si>
  <si>
    <t>$B$80&lt;=$D$80</t>
  </si>
  <si>
    <t>$B$81&lt;=$D$81</t>
  </si>
  <si>
    <t>$B$82&lt;=$D$82</t>
  </si>
  <si>
    <t>$D$144&gt;=$F$144</t>
  </si>
  <si>
    <t>$D$145&gt;=$F$145</t>
  </si>
  <si>
    <t>$D$146&gt;=$F$146</t>
  </si>
  <si>
    <t>$D$147&gt;=$F$147</t>
  </si>
  <si>
    <t>$D$148&gt;=$F$148</t>
  </si>
  <si>
    <t>$D$46&lt;=$F$46</t>
  </si>
  <si>
    <t>$D$47&lt;=$F$47</t>
  </si>
  <si>
    <t>$D$48&lt;=$F$48</t>
  </si>
  <si>
    <t>$D$49&lt;=$F$49</t>
  </si>
  <si>
    <t>$D$50&lt;=$F$50</t>
  </si>
  <si>
    <t>$D$58&lt;=$F$58</t>
  </si>
  <si>
    <t>$D$59&lt;=$F$59</t>
  </si>
  <si>
    <t>$D$60&lt;=$F$60</t>
  </si>
  <si>
    <t>$D$61&lt;=$F$61</t>
  </si>
  <si>
    <t>$D$62&lt;=$F$62</t>
  </si>
  <si>
    <t>$H$25=$J$25</t>
  </si>
  <si>
    <t>$H$26=$J$26</t>
  </si>
  <si>
    <t>$H$27=$J$27</t>
  </si>
  <si>
    <t>$H$28=$J$28</t>
  </si>
  <si>
    <t>$H$29=$J$29</t>
  </si>
  <si>
    <t>$H$67&lt;=$J$67</t>
  </si>
  <si>
    <t>$H$68&lt;=$J$68</t>
  </si>
  <si>
    <t>$H$69&lt;=$J$69</t>
  </si>
  <si>
    <t>$H$70&lt;=$J$70</t>
  </si>
  <si>
    <t>$H$71&lt;=$J$71</t>
  </si>
  <si>
    <t>$K$145&lt;=$M$145</t>
  </si>
  <si>
    <t>$K$145&gt;=$I$145</t>
  </si>
  <si>
    <t>$L$91&lt;=$N$91</t>
  </si>
  <si>
    <t>$L$92&lt;=$N$92</t>
  </si>
  <si>
    <t>$L$93&lt;=$N$93</t>
  </si>
  <si>
    <t>$L$94&lt;=$N$94</t>
  </si>
  <si>
    <t>$L$95&lt;=$N$95</t>
  </si>
  <si>
    <t>$N$46=$P$46</t>
  </si>
  <si>
    <t>$N$47=$P$47</t>
  </si>
  <si>
    <t>$N$48=$P$48</t>
  </si>
  <si>
    <t>$N$49=$P$49</t>
  </si>
  <si>
    <t>$N$50=$P$50</t>
  </si>
  <si>
    <t>$N$58=$P$58</t>
  </si>
  <si>
    <t>$N$59=$P$59</t>
  </si>
  <si>
    <t>$N$60=$P$60</t>
  </si>
  <si>
    <t>$N$61=$P$61</t>
  </si>
  <si>
    <t>$N$62=$P$62</t>
  </si>
  <si>
    <t>$B$37&lt;=$B$43</t>
  </si>
  <si>
    <t>$B$38&lt;=$B$43</t>
  </si>
  <si>
    <t>$B$39&lt;=$B$43</t>
  </si>
  <si>
    <t>$B$40&lt;=$B$43</t>
  </si>
  <si>
    <t>$B$41&lt;=$B$43</t>
  </si>
  <si>
    <t>$C$37&lt;=$C$43</t>
  </si>
  <si>
    <t>$C$38&lt;=$C$43</t>
  </si>
  <si>
    <t>$C$39&lt;=$C$43</t>
  </si>
  <si>
    <t>$C$40&lt;=$C$43</t>
  </si>
  <si>
    <t>$C$41&lt;=$C$43</t>
  </si>
  <si>
    <t>$D$37&lt;=$D$43</t>
  </si>
  <si>
    <t>$D$38&lt;=$D$43</t>
  </si>
  <si>
    <t>$D$39&lt;=$D$43</t>
  </si>
  <si>
    <t>$D$40&lt;=$D$43</t>
  </si>
  <si>
    <t>$D$41&lt;=$D$43</t>
  </si>
  <si>
    <t>$E$37&lt;=$E$43</t>
  </si>
  <si>
    <t>$E$38&lt;=$E$43</t>
  </si>
  <si>
    <t>$E$39&lt;=$E$43</t>
  </si>
  <si>
    <t>$E$40&lt;=$E$43</t>
  </si>
  <si>
    <t>$E$41&lt;=$E$43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</si>
</sst>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indexed="1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6ACD6"/>
        <bgColor indexed="64"/>
      </patternFill>
    </fill>
    <fill>
      <patternFill patternType="solid">
        <fgColor theme="4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1" fillId="0" borderId="0" xfId="0" applyFont="1"/>
    <xf numFmtId="0" fontId="1" fillId="0" borderId="2" xfId="0" applyFont="1" applyBorder="1"/>
    <xf numFmtId="0" fontId="1" fillId="0" borderId="3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" borderId="8" xfId="0" applyFill="1" applyBorder="1"/>
    <xf numFmtId="0" fontId="0" fillId="0" borderId="9" xfId="0" applyBorder="1"/>
    <xf numFmtId="0" fontId="1" fillId="0" borderId="10" xfId="0" applyFont="1" applyBorder="1"/>
    <xf numFmtId="0" fontId="1" fillId="0" borderId="12" xfId="0" applyFont="1" applyBorder="1"/>
    <xf numFmtId="0" fontId="0" fillId="0" borderId="2" xfId="0" applyBorder="1"/>
    <xf numFmtId="0" fontId="0" fillId="2" borderId="6" xfId="0" applyFill="1" applyBorder="1"/>
    <xf numFmtId="0" fontId="0" fillId="2" borderId="9" xfId="0" applyFill="1" applyBorder="1"/>
    <xf numFmtId="0" fontId="1" fillId="0" borderId="1" xfId="0" applyFont="1" applyBorder="1"/>
    <xf numFmtId="0" fontId="0" fillId="0" borderId="13" xfId="0" applyBorder="1"/>
    <xf numFmtId="0" fontId="0" fillId="0" borderId="14" xfId="0" applyBorder="1"/>
    <xf numFmtId="0" fontId="0" fillId="0" borderId="3" xfId="0" applyBorder="1"/>
    <xf numFmtId="0" fontId="0" fillId="0" borderId="4" xfId="0" applyBorder="1"/>
    <xf numFmtId="0" fontId="1" fillId="0" borderId="3" xfId="0" applyFont="1" applyBorder="1" applyAlignment="1">
      <alignment wrapText="1"/>
    </xf>
    <xf numFmtId="0" fontId="1" fillId="0" borderId="5" xfId="0" applyFont="1" applyBorder="1"/>
    <xf numFmtId="0" fontId="1" fillId="0" borderId="7" xfId="0" applyFont="1" applyBorder="1"/>
    <xf numFmtId="0" fontId="1" fillId="0" borderId="6" xfId="0" applyFont="1" applyBorder="1"/>
    <xf numFmtId="0" fontId="0" fillId="3" borderId="0" xfId="0" applyFill="1"/>
    <xf numFmtId="0" fontId="0" fillId="3" borderId="8" xfId="0" applyFill="1" applyBorder="1"/>
    <xf numFmtId="0" fontId="0" fillId="3" borderId="6" xfId="0" applyFill="1" applyBorder="1"/>
    <xf numFmtId="0" fontId="0" fillId="3" borderId="9" xfId="0" applyFill="1" applyBorder="1"/>
    <xf numFmtId="0" fontId="1" fillId="0" borderId="0" xfId="0" applyFont="1" applyAlignment="1">
      <alignment wrapText="1"/>
    </xf>
    <xf numFmtId="0" fontId="1" fillId="0" borderId="6" xfId="0" applyFont="1" applyBorder="1" applyAlignment="1">
      <alignment wrapText="1"/>
    </xf>
    <xf numFmtId="0" fontId="0" fillId="4" borderId="6" xfId="0" applyFill="1" applyBorder="1"/>
    <xf numFmtId="0" fontId="0" fillId="4" borderId="0" xfId="0" applyFill="1"/>
    <xf numFmtId="0" fontId="0" fillId="4" borderId="8" xfId="0" applyFill="1" applyBorder="1"/>
    <xf numFmtId="0" fontId="1" fillId="0" borderId="8" xfId="0" applyFont="1" applyBorder="1"/>
    <xf numFmtId="0" fontId="0" fillId="5" borderId="6" xfId="0" applyFill="1" applyBorder="1"/>
    <xf numFmtId="0" fontId="0" fillId="5" borderId="0" xfId="0" applyFill="1"/>
    <xf numFmtId="0" fontId="0" fillId="5" borderId="8" xfId="0" applyFill="1" applyBorder="1"/>
    <xf numFmtId="0" fontId="0" fillId="4" borderId="9" xfId="0" applyFill="1" applyBorder="1"/>
    <xf numFmtId="0" fontId="0" fillId="0" borderId="8" xfId="0" applyBorder="1" applyAlignment="1">
      <alignment wrapText="1"/>
    </xf>
    <xf numFmtId="0" fontId="1" fillId="0" borderId="4" xfId="0" applyFont="1" applyBorder="1" applyAlignment="1">
      <alignment wrapText="1"/>
    </xf>
    <xf numFmtId="0" fontId="0" fillId="6" borderId="0" xfId="0" applyFill="1"/>
    <xf numFmtId="0" fontId="1" fillId="6" borderId="0" xfId="0" applyFont="1" applyFill="1"/>
    <xf numFmtId="0" fontId="0" fillId="7" borderId="8" xfId="0" applyFill="1" applyBorder="1"/>
    <xf numFmtId="0" fontId="0" fillId="5" borderId="5" xfId="0" applyFill="1" applyBorder="1"/>
    <xf numFmtId="0" fontId="0" fillId="5" borderId="7" xfId="0" applyFill="1" applyBorder="1"/>
    <xf numFmtId="0" fontId="0" fillId="0" borderId="17" xfId="0" applyFill="1" applyBorder="1" applyAlignment="1"/>
    <xf numFmtId="0" fontId="0" fillId="0" borderId="18" xfId="0" applyFill="1" applyBorder="1" applyAlignment="1"/>
    <xf numFmtId="0" fontId="2" fillId="0" borderId="15" xfId="0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/>
    </xf>
    <xf numFmtId="0" fontId="0" fillId="0" borderId="17" xfId="0" quotePrefix="1" applyFill="1" applyBorder="1" applyAlignment="1"/>
    <xf numFmtId="0" fontId="0" fillId="0" borderId="0" xfId="0" applyBorder="1"/>
    <xf numFmtId="0" fontId="1" fillId="0" borderId="0" xfId="0" applyFont="1" applyBorder="1" applyAlignment="1">
      <alignment wrapText="1"/>
    </xf>
    <xf numFmtId="0" fontId="0" fillId="5" borderId="0" xfId="0" applyFill="1" applyBorder="1"/>
    <xf numFmtId="0" fontId="0" fillId="2" borderId="0" xfId="0" applyFill="1" applyBorder="1"/>
    <xf numFmtId="0" fontId="0" fillId="4" borderId="0" xfId="0" applyFill="1" applyBorder="1"/>
    <xf numFmtId="0" fontId="0" fillId="0" borderId="6" xfId="0" applyBorder="1" applyAlignment="1">
      <alignment wrapText="1"/>
    </xf>
    <xf numFmtId="0" fontId="0" fillId="8" borderId="8" xfId="0" applyFill="1" applyBorder="1"/>
    <xf numFmtId="0" fontId="1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19" xfId="0" applyFont="1" applyFill="1" applyBorder="1" applyAlignment="1">
      <alignment horizontal="center"/>
    </xf>
    <xf numFmtId="0" fontId="0" fillId="0" borderId="18" xfId="0" applyNumberFormat="1" applyFill="1" applyBorder="1" applyAlignment="1"/>
    <xf numFmtId="0" fontId="0" fillId="0" borderId="17" xfId="0" applyNumberForma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6ACD6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Sheet2!$B$205</c:f>
              <c:strCache>
                <c:ptCount val="1"/>
                <c:pt idx="0">
                  <c:v>NO OF DAIRY COWS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Sheet2!$A$206:$A$210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Sheet2!$B$206:$B$210</c:f>
              <c:numCache>
                <c:formatCode>General</c:formatCode>
                <c:ptCount val="5"/>
                <c:pt idx="0">
                  <c:v>97.699999999999989</c:v>
                </c:pt>
                <c:pt idx="1">
                  <c:v>95.167000000000002</c:v>
                </c:pt>
                <c:pt idx="2">
                  <c:v>104.42873999999998</c:v>
                </c:pt>
                <c:pt idx="3">
                  <c:v>103.57142896750003</c:v>
                </c:pt>
                <c:pt idx="4">
                  <c:v>92.46079242015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A2-0A4D-B228-23F9D1347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145663"/>
        <c:axId val="1250097823"/>
      </c:lineChart>
      <c:catAx>
        <c:axId val="87145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0097823"/>
        <c:crosses val="autoZero"/>
        <c:auto val="1"/>
        <c:lblAlgn val="ctr"/>
        <c:lblOffset val="100"/>
        <c:noMultiLvlLbl val="0"/>
      </c:catAx>
      <c:valAx>
        <c:axId val="1250097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145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Sheet2!$C$205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Sheet2!$A$206:$A$210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Sheet2!$C$206:$C$210</c:f>
              <c:numCache>
                <c:formatCode>General</c:formatCode>
                <c:ptCount val="5"/>
                <c:pt idx="0">
                  <c:v>41494.717339999988</c:v>
                </c:pt>
                <c:pt idx="1">
                  <c:v>41153.529304000003</c:v>
                </c:pt>
                <c:pt idx="2">
                  <c:v>45212.464773999985</c:v>
                </c:pt>
                <c:pt idx="3">
                  <c:v>45860.056233938762</c:v>
                </c:pt>
                <c:pt idx="4">
                  <c:v>42716.941630547975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BD-F444-8F41-A5BD0E776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391599"/>
        <c:axId val="635913951"/>
      </c:lineChart>
      <c:catAx>
        <c:axId val="6363915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913951"/>
        <c:crosses val="autoZero"/>
        <c:auto val="1"/>
        <c:lblAlgn val="ctr"/>
        <c:lblOffset val="100"/>
        <c:noMultiLvlLbl val="0"/>
      </c:catAx>
      <c:valAx>
        <c:axId val="63591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391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Sheet2!$D$205</c:f>
              <c:strCache>
                <c:ptCount val="1"/>
                <c:pt idx="0">
                  <c:v>EXPENDITURE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Sheet2!$A$206:$A$210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Sheet2!$D$206:$D$210</c:f>
              <c:numCache>
                <c:formatCode>General</c:formatCode>
                <c:ptCount val="5"/>
                <c:pt idx="0">
                  <c:v>19588.4882</c:v>
                </c:pt>
                <c:pt idx="1">
                  <c:v>19264.662</c:v>
                </c:pt>
                <c:pt idx="2">
                  <c:v>19396.364464999999</c:v>
                </c:pt>
                <c:pt idx="3">
                  <c:v>19034.285736750004</c:v>
                </c:pt>
                <c:pt idx="4">
                  <c:v>17434.354072014998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E3-3944-8078-DC486E1C4E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36607"/>
        <c:axId val="207256991"/>
      </c:lineChart>
      <c:catAx>
        <c:axId val="92536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56991"/>
        <c:crosses val="autoZero"/>
        <c:auto val="1"/>
        <c:lblAlgn val="ctr"/>
        <c:lblOffset val="100"/>
        <c:noMultiLvlLbl val="0"/>
      </c:catAx>
      <c:valAx>
        <c:axId val="20725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536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Sheet2!$E$205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Sheet2!$A$206:$A$210</c:f>
              <c:strCache>
                <c:ptCount val="5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</c:strCache>
            </c:strRef>
          </c:cat>
          <c:val>
            <c:numRef>
              <c:f>Sheet2!$E$206:$E$210</c:f>
              <c:numCache>
                <c:formatCode>General</c:formatCode>
                <c:ptCount val="5"/>
                <c:pt idx="0">
                  <c:v>21906.229139999989</c:v>
                </c:pt>
                <c:pt idx="1">
                  <c:v>21888.867304000003</c:v>
                </c:pt>
                <c:pt idx="2">
                  <c:v>25816.100308999987</c:v>
                </c:pt>
                <c:pt idx="3">
                  <c:v>26825.770497188758</c:v>
                </c:pt>
                <c:pt idx="4">
                  <c:v>25282.587558532978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A2-4640-BE46-A1D309AC0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6240704"/>
        <c:axId val="636217967"/>
      </c:lineChart>
      <c:catAx>
        <c:axId val="139624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217967"/>
        <c:crosses val="autoZero"/>
        <c:auto val="1"/>
        <c:lblAlgn val="ctr"/>
        <c:lblOffset val="100"/>
        <c:noMultiLvlLbl val="0"/>
      </c:catAx>
      <c:valAx>
        <c:axId val="636217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624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312964</xdr:colOff>
      <xdr:row>14</xdr:row>
      <xdr:rowOff>27214</xdr:rowOff>
    </xdr:from>
    <xdr:to>
      <xdr:col>17</xdr:col>
      <xdr:colOff>163285</xdr:colOff>
      <xdr:row>18</xdr:row>
      <xdr:rowOff>36286</xdr:rowOff>
    </xdr:to>
    <xdr:sp macro="" textlink="">
      <xdr:nvSpPr>
        <xdr:cNvPr id="2" name="Callout: Bent Line 1">
          <a:extLst>
            <a:ext uri="{FF2B5EF4-FFF2-40B4-BE49-F238E27FC236}">
              <a16:creationId xmlns:a16="http://schemas.microsoft.com/office/drawing/2014/main" id="{042C1B22-F721-CF60-8D9E-D6C86345D40F}"/>
            </a:ext>
          </a:extLst>
        </xdr:cNvPr>
        <xdr:cNvSpPr/>
      </xdr:nvSpPr>
      <xdr:spPr>
        <a:xfrm>
          <a:off x="13938250" y="3057071"/>
          <a:ext cx="1519464" cy="807358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92092"/>
            <a:gd name="adj6" fmla="val -8190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The survival</a:t>
          </a:r>
          <a:r>
            <a:rPr lang="en-GB" sz="1100" baseline="0"/>
            <a:t> percentage of heifer and cow in the next year</a:t>
          </a:r>
          <a:endParaRPr lang="en-GB" sz="1100"/>
        </a:p>
      </xdr:txBody>
    </xdr:sp>
    <xdr:clientData/>
  </xdr:twoCellAnchor>
  <xdr:twoCellAnchor>
    <xdr:from>
      <xdr:col>19</xdr:col>
      <xdr:colOff>659191</xdr:colOff>
      <xdr:row>23</xdr:row>
      <xdr:rowOff>477761</xdr:rowOff>
    </xdr:from>
    <xdr:to>
      <xdr:col>22</xdr:col>
      <xdr:colOff>68036</xdr:colOff>
      <xdr:row>25</xdr:row>
      <xdr:rowOff>68036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Rounded Rectangle 3">
              <a:extLst>
                <a:ext uri="{FF2B5EF4-FFF2-40B4-BE49-F238E27FC236}">
                  <a16:creationId xmlns:a16="http://schemas.microsoft.com/office/drawing/2014/main" id="{C6584C26-AD76-CFB2-92F5-F927818E3DED}"/>
                </a:ext>
              </a:extLst>
            </xdr:cNvPr>
            <xdr:cNvSpPr/>
          </xdr:nvSpPr>
          <xdr:spPr>
            <a:xfrm>
              <a:off x="17913048" y="5362725"/>
              <a:ext cx="1939774" cy="99181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Profit from selling Bullocks 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𝑃𝐵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30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Profit from selling Heifers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𝑃𝐻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40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𝐻𝑅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N" sz="11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l"/>
              <a:endParaRPr lang="en-GB" sz="1100"/>
            </a:p>
          </xdr:txBody>
        </xdr:sp>
      </mc:Choice>
      <mc:Fallback xmlns="">
        <xdr:sp macro="" textlink="">
          <xdr:nvSpPr>
            <xdr:cNvPr id="4" name="Rounded Rectangle 3">
              <a:extLst>
                <a:ext uri="{FF2B5EF4-FFF2-40B4-BE49-F238E27FC236}">
                  <a16:creationId xmlns:a16="http://schemas.microsoft.com/office/drawing/2014/main" id="{C6584C26-AD76-CFB2-92F5-F927818E3DED}"/>
                </a:ext>
              </a:extLst>
            </xdr:cNvPr>
            <xdr:cNvSpPr/>
          </xdr:nvSpPr>
          <xdr:spPr>
            <a:xfrm>
              <a:off x="17913048" y="5362725"/>
              <a:ext cx="1939774" cy="99181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Profit from selling Bullocks 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𝑃𝐵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30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Profit from selling Heifers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𝑃𝐻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40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𝐻𝑅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N" sz="11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l"/>
              <a:endParaRPr lang="en-GB" sz="1100"/>
            </a:p>
          </xdr:txBody>
        </xdr:sp>
      </mc:Fallback>
    </mc:AlternateContent>
    <xdr:clientData/>
  </xdr:twoCellAnchor>
  <xdr:twoCellAnchor>
    <xdr:from>
      <xdr:col>19</xdr:col>
      <xdr:colOff>671286</xdr:colOff>
      <xdr:row>14</xdr:row>
      <xdr:rowOff>28221</xdr:rowOff>
    </xdr:from>
    <xdr:to>
      <xdr:col>22</xdr:col>
      <xdr:colOff>476250</xdr:colOff>
      <xdr:row>23</xdr:row>
      <xdr:rowOff>231322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Rounded Rectangle 4">
              <a:extLst>
                <a:ext uri="{FF2B5EF4-FFF2-40B4-BE49-F238E27FC236}">
                  <a16:creationId xmlns:a16="http://schemas.microsoft.com/office/drawing/2014/main" id="{20CDF04D-6F69-0D48-A594-D7766524BA3E}"/>
                </a:ext>
              </a:extLst>
            </xdr:cNvPr>
            <xdr:cNvSpPr/>
          </xdr:nvSpPr>
          <xdr:spPr>
            <a:xfrm>
              <a:off x="17925143" y="3076221"/>
              <a:ext cx="2335893" cy="2040065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Dairy cow calculation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14:m>
                <m:oMath xmlns:m="http://schemas.openxmlformats.org/officeDocument/2006/math">
                  <m:nary>
                    <m:naryPr>
                      <m:chr m:val="∑"/>
                      <m:limLoc m:val="undOvr"/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naryPr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=2</m:t>
                      </m:r>
                    </m:sub>
                    <m:sup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11</m:t>
                      </m:r>
                    </m:sup>
                    <m:e>
                      <m:sSub>
                        <m:sSubPr>
                          <m:ctrlPr>
                            <a:rPr lang="en-IN" sz="11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𝐶</m:t>
                          </m:r>
                        </m:e>
                        <m:sub>
                          <m:r>
                            <a:rPr lang="en-US" sz="11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𝑖𝑗</m:t>
                          </m:r>
                        </m:sub>
                      </m:sSub>
                    </m:e>
                  </m:nary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 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Bullocks calculation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14:m>
                <m:oMath xmlns:m="http://schemas.openxmlformats.org/officeDocument/2006/math">
                  <m:f>
                    <m:f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1.1</m:t>
                      </m:r>
                    </m:num>
                    <m:den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	For j = 1 to 5</a:t>
              </a:r>
            </a:p>
            <a:p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Heifer of age 0 calculation</a:t>
              </a:r>
              <a:endParaRPr lang="en-GB" sz="110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GB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14:m>
                <m:oMath xmlns:m="http://schemas.openxmlformats.org/officeDocument/2006/math">
                  <m:f>
                    <m:fPr>
                      <m:ctrlPr>
                        <a:rPr lang="en-GB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1.1</m:t>
                      </m:r>
                    </m:num>
                    <m:den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den>
                  </m:f>
                  <m:sSub>
                    <m:sSubPr>
                      <m:ctrlPr>
                        <a:rPr lang="en-GB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	For j = 1 to 5</a:t>
              </a:r>
              <a:endParaRPr lang="en-IN" sz="110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Heifer of age 0 which were sold and reared constraint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𝐻𝑆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+ 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𝐻𝑅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 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l"/>
              <a:endParaRPr lang="en-GB" sz="1100"/>
            </a:p>
          </xdr:txBody>
        </xdr:sp>
      </mc:Choice>
      <mc:Fallback xmlns="">
        <xdr:sp macro="" textlink="">
          <xdr:nvSpPr>
            <xdr:cNvPr id="5" name="Rounded Rectangle 4">
              <a:extLst>
                <a:ext uri="{FF2B5EF4-FFF2-40B4-BE49-F238E27FC236}">
                  <a16:creationId xmlns:a16="http://schemas.microsoft.com/office/drawing/2014/main" id="{20CDF04D-6F69-0D48-A594-D7766524BA3E}"/>
                </a:ext>
              </a:extLst>
            </xdr:cNvPr>
            <xdr:cNvSpPr/>
          </xdr:nvSpPr>
          <xdr:spPr>
            <a:xfrm>
              <a:off x="17925143" y="3076221"/>
              <a:ext cx="2335893" cy="2040065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Dairy cow calculation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∑1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𝑖=2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^11▒𝐶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𝑖𝑗 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 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Bullocks calculation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1.1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	For j = 1 to 5</a:t>
              </a:r>
            </a:p>
            <a:p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Heifer of age 0 calculation</a:t>
              </a:r>
              <a:endParaRPr lang="en-GB" sz="110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𝐻</a:t>
              </a:r>
              <a:r>
                <a:rPr lang="en-GB" sz="1100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:r>
                <a:rPr lang="en-US" sz="1100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1.1</a:t>
              </a:r>
              <a:r>
                <a:rPr lang="en-GB" sz="1100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n-US" sz="1100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r>
                <a:rPr lang="en-GB" sz="1100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en-GB" sz="1100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	For j = 1 to 5</a:t>
              </a:r>
              <a:endParaRPr lang="en-IN" sz="110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Heifer of age 0 which were sold and reared constraint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𝐻𝑆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+ 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𝐻𝑅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 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l"/>
              <a:endParaRPr lang="en-GB" sz="1100"/>
            </a:p>
          </xdr:txBody>
        </xdr:sp>
      </mc:Fallback>
    </mc:AlternateContent>
    <xdr:clientData/>
  </xdr:twoCellAnchor>
  <xdr:twoCellAnchor>
    <xdr:from>
      <xdr:col>19</xdr:col>
      <xdr:colOff>395111</xdr:colOff>
      <xdr:row>28</xdr:row>
      <xdr:rowOff>169332</xdr:rowOff>
    </xdr:from>
    <xdr:to>
      <xdr:col>21</xdr:col>
      <xdr:colOff>802821</xdr:colOff>
      <xdr:row>36</xdr:row>
      <xdr:rowOff>40822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Rounded Rectangle 9">
              <a:extLst>
                <a:ext uri="{FF2B5EF4-FFF2-40B4-BE49-F238E27FC236}">
                  <a16:creationId xmlns:a16="http://schemas.microsoft.com/office/drawing/2014/main" id="{3D9A0481-FD82-6D4B-89D1-A573ED1A21D0}"/>
                </a:ext>
              </a:extLst>
            </xdr:cNvPr>
            <xdr:cNvSpPr/>
          </xdr:nvSpPr>
          <xdr:spPr>
            <a:xfrm>
              <a:off x="17648968" y="7068153"/>
              <a:ext cx="2094996" cy="1572383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Grain Acre constraint Based on Group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𝐺𝐴𝐺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&lt;=20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𝐺𝐴𝐺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&lt;=30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𝐺𝐴𝐺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&lt;=20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𝐺𝐴𝐺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4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&lt;=10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l"/>
              <a:endParaRPr lang="en-GB" sz="1100"/>
            </a:p>
          </xdr:txBody>
        </xdr:sp>
      </mc:Choice>
      <mc:Fallback xmlns="">
        <xdr:sp macro="" textlink="">
          <xdr:nvSpPr>
            <xdr:cNvPr id="10" name="Rounded Rectangle 9">
              <a:extLst>
                <a:ext uri="{FF2B5EF4-FFF2-40B4-BE49-F238E27FC236}">
                  <a16:creationId xmlns:a16="http://schemas.microsoft.com/office/drawing/2014/main" id="{3D9A0481-FD82-6D4B-89D1-A573ED1A21D0}"/>
                </a:ext>
              </a:extLst>
            </xdr:cNvPr>
            <xdr:cNvSpPr/>
          </xdr:nvSpPr>
          <xdr:spPr>
            <a:xfrm>
              <a:off x="17648968" y="7068153"/>
              <a:ext cx="2094996" cy="1572383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Grain Acre constraint Based on Group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𝐺𝐴𝐺1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&lt;=20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𝐺𝐴𝐺2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&lt;=30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𝐺𝐴𝐺3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&lt;=20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𝐺𝐴𝐺4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&lt;=10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l"/>
              <a:endParaRPr lang="en-GB" sz="1100"/>
            </a:p>
          </xdr:txBody>
        </xdr:sp>
      </mc:Fallback>
    </mc:AlternateContent>
    <xdr:clientData/>
  </xdr:twoCellAnchor>
  <xdr:twoCellAnchor>
    <xdr:from>
      <xdr:col>10</xdr:col>
      <xdr:colOff>36285</xdr:colOff>
      <xdr:row>20</xdr:row>
      <xdr:rowOff>108855</xdr:rowOff>
    </xdr:from>
    <xdr:to>
      <xdr:col>10</xdr:col>
      <xdr:colOff>635000</xdr:colOff>
      <xdr:row>23</xdr:row>
      <xdr:rowOff>254000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D4EF1117-852B-2AC6-D3C0-D3C4B2426A26}"/>
            </a:ext>
          </a:extLst>
        </xdr:cNvPr>
        <xdr:cNvCxnSpPr/>
      </xdr:nvCxnSpPr>
      <xdr:spPr>
        <a:xfrm flipV="1">
          <a:off x="9361714" y="4336141"/>
          <a:ext cx="598715" cy="74385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635000</xdr:colOff>
      <xdr:row>20</xdr:row>
      <xdr:rowOff>72571</xdr:rowOff>
    </xdr:from>
    <xdr:to>
      <xdr:col>19</xdr:col>
      <xdr:colOff>290286</xdr:colOff>
      <xdr:row>20</xdr:row>
      <xdr:rowOff>108857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34A379C3-DE60-9F40-81E8-5906955286D1}"/>
            </a:ext>
          </a:extLst>
        </xdr:cNvPr>
        <xdr:cNvCxnSpPr/>
      </xdr:nvCxnSpPr>
      <xdr:spPr>
        <a:xfrm flipV="1">
          <a:off x="9960429" y="4299857"/>
          <a:ext cx="7347857" cy="3628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282222</xdr:colOff>
      <xdr:row>18</xdr:row>
      <xdr:rowOff>84667</xdr:rowOff>
    </xdr:from>
    <xdr:to>
      <xdr:col>19</xdr:col>
      <xdr:colOff>663222</xdr:colOff>
      <xdr:row>20</xdr:row>
      <xdr:rowOff>70556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4ECE5348-F939-DB44-B4AC-B9D9C765C461}"/>
            </a:ext>
          </a:extLst>
        </xdr:cNvPr>
        <xdr:cNvCxnSpPr/>
      </xdr:nvCxnSpPr>
      <xdr:spPr>
        <a:xfrm flipV="1">
          <a:off x="17300222" y="3880556"/>
          <a:ext cx="381000" cy="3810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28222</xdr:colOff>
      <xdr:row>23</xdr:row>
      <xdr:rowOff>973667</xdr:rowOff>
    </xdr:from>
    <xdr:to>
      <xdr:col>19</xdr:col>
      <xdr:colOff>659191</xdr:colOff>
      <xdr:row>28</xdr:row>
      <xdr:rowOff>141111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E6C43C5D-1746-CE44-B630-AC5D4DC99123}"/>
            </a:ext>
          </a:extLst>
        </xdr:cNvPr>
        <xdr:cNvCxnSpPr>
          <a:endCxn id="4" idx="1"/>
        </xdr:cNvCxnSpPr>
      </xdr:nvCxnSpPr>
      <xdr:spPr>
        <a:xfrm flipV="1">
          <a:off x="17282079" y="5858631"/>
          <a:ext cx="630969" cy="118130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613327</xdr:colOff>
      <xdr:row>3</xdr:row>
      <xdr:rowOff>4535</xdr:rowOff>
    </xdr:from>
    <xdr:to>
      <xdr:col>27</xdr:col>
      <xdr:colOff>277685</xdr:colOff>
      <xdr:row>39</xdr:row>
      <xdr:rowOff>4535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Rounded Rectangle 33">
              <a:extLst>
                <a:ext uri="{FF2B5EF4-FFF2-40B4-BE49-F238E27FC236}">
                  <a16:creationId xmlns:a16="http://schemas.microsoft.com/office/drawing/2014/main" id="{E5932FA4-664C-3746-AEC6-2E008314784B}"/>
                </a:ext>
              </a:extLst>
            </xdr:cNvPr>
            <xdr:cNvSpPr/>
          </xdr:nvSpPr>
          <xdr:spPr>
            <a:xfrm>
              <a:off x="20398113" y="616856"/>
              <a:ext cx="3882572" cy="8599715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GB" sz="1100">
                  <a:solidFill>
                    <a:schemeClr val="tx1"/>
                  </a:solidFill>
                </a:rPr>
                <a:t>Variables</a:t>
              </a:r>
            </a:p>
            <a:p>
              <a:pPr algn="l"/>
              <a:endParaRPr lang="en-GB" sz="1100">
                <a:solidFill>
                  <a:schemeClr val="tx1"/>
                </a:solidFill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- No of heifers of age 1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- No of dairy cows of age i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bullocks of age 0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heifers of age 0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𝐻𝑆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heifers of age 0 which were sold.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𝐻𝑅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heifers of age 0 which were reared.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𝑃𝐵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Profit on selling Bullocks of age 0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𝑃𝐻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profit on selling Heifers of age 0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𝑃𝑀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-profit on selling milk from dairy cows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𝐺𝐴𝐺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Grain grown in Acres in the group i and in the year j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𝐺𝐴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Grain grown in Acres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𝐺𝑇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Grain in Tons cultivated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𝐺𝑇𝐶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Grain in Tons which were cultivated used to feed cows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𝐺𝑇𝑆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Grain in Tons which were cultivated in farm.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𝐺𝑇𝐵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–No of Grain in Tons bought to feed cows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𝐺𝑇𝐵𝐶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Cost to buy grain to feed cows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𝐺𝑇𝑆𝑃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- Grain in Tons which were cultivated in farm and sold for profit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𝑆𝐵𝑇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Sugar Beet in Tons cultivated from farm in the year j. 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𝑆𝐵𝐴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acres used to grow sugar beet in the year j. 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𝑆𝐵𝑇𝐶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sugar beet tons cultivated used to feed cow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𝑆𝐵𝑇𝑆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sugar beet in tons sold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𝑆𝐵𝑇𝐵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sugar beet in tons which were bought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𝑆𝐵𝑇𝐵𝐶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cost to buy sugar beet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𝑆𝐵𝑇𝑆𝑃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profit on selling sugar beet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𝐻𝐴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Acres used by heifers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𝐴𝐷𝐶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Additional accommodation needed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𝐴𝐷𝐶𝐶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Additional accommodation cost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𝐴𝐷𝐿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Additional labour needed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𝐴𝐷𝐿𝐶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Addition labour cost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𝑂𝑇𝐶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other cost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𝑅𝑒𝑣𝑒𝑛𝑢𝑒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- Revenue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𝐸𝑥𝑝𝑒𝑛𝑑𝑖𝑡𝑢𝑟𝑒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- expenditure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𝑃𝑟𝑜𝑓𝑖𝑡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- profit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j = 1,2,3,4,5 represents the year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l"/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34" name="Rounded Rectangle 33">
              <a:extLst>
                <a:ext uri="{FF2B5EF4-FFF2-40B4-BE49-F238E27FC236}">
                  <a16:creationId xmlns:a16="http://schemas.microsoft.com/office/drawing/2014/main" id="{E5932FA4-664C-3746-AEC6-2E008314784B}"/>
                </a:ext>
              </a:extLst>
            </xdr:cNvPr>
            <xdr:cNvSpPr/>
          </xdr:nvSpPr>
          <xdr:spPr>
            <a:xfrm>
              <a:off x="20398113" y="616856"/>
              <a:ext cx="3882572" cy="8599715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GB" sz="1100">
                  <a:solidFill>
                    <a:schemeClr val="tx1"/>
                  </a:solidFill>
                </a:rPr>
                <a:t>Variables</a:t>
              </a:r>
            </a:p>
            <a:p>
              <a:pPr algn="l"/>
              <a:endParaRPr lang="en-GB" sz="1100">
                <a:solidFill>
                  <a:schemeClr val="tx1"/>
                </a:solidFill>
              </a:endParaRPr>
            </a:p>
            <a:p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- No of heifers of age 1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- No of dairy cows of age i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bullocks of age 0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heifers of age 0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𝐻𝑆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heifers of age 0 which were sold.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𝐻𝑅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heifers of age 0 which were reared.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𝑃𝐵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Profit on selling Bullocks of age 0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𝑃𝐻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profit on selling Heifers of age 0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𝑃𝑀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-profit on selling milk from dairy cows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𝐺𝐴𝐺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Grain grown in Acres in the group i and in the year j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𝐺𝐴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Grain grown in Acres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𝐺𝑇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Grain in Tons cultivated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𝐺𝑇𝐶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Grain in Tons which were cultivated used to feed cows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𝐺𝑇𝑆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Grain in Tons which were cultivated in farm.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𝐺𝑇𝐵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–No of Grain in Tons bought to feed cows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𝐺𝑇𝐵𝐶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Cost to buy grain to feed cows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𝐺𝑇𝑆𝑃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- Grain in Tons which were cultivated in farm and sold for profit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𝑆𝐵𝑇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Sugar Beet in Tons cultivated from farm in the year j. 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𝑆𝐵𝐴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acres used to grow sugar beet in the year j. 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𝑆𝐵𝑇𝐶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sugar beet tons cultivated used to feed cow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𝑆𝐵𝑇𝑆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sugar beet in tons sold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𝑆𝐵𝑇𝐵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No of sugar beet in tons which were bought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𝑆𝐵𝑇𝐵𝐶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cost to buy sugar beet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𝑆𝐵𝑇𝑆𝑃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profit on selling sugar beet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𝐻𝐴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Acres used by heifers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𝐴𝐷𝐶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Additional accommodation needed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𝐴𝐷𝐶𝐶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Additional accommodation cost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𝐴𝐷𝐿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Additional labour needed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𝐴𝐷𝐿𝐶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Addition labour cost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𝑂𝑇𝐶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– other cost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𝑅𝑒𝑣𝑒𝑛𝑢𝑒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- Revenue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𝐸𝑥𝑝𝑒𝑛𝑑𝑖𝑡𝑢𝑟𝑒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- expenditure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𝑃𝑟𝑜𝑓𝑖𝑡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- profit in the year j.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j = 1,2,3,4,5 represents the year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l"/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19</xdr:col>
      <xdr:colOff>432637</xdr:colOff>
      <xdr:row>39</xdr:row>
      <xdr:rowOff>13956</xdr:rowOff>
    </xdr:from>
    <xdr:to>
      <xdr:col>23</xdr:col>
      <xdr:colOff>285750</xdr:colOff>
      <xdr:row>44</xdr:row>
      <xdr:rowOff>40822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Rounded Rectangle 34">
              <a:extLst>
                <a:ext uri="{FF2B5EF4-FFF2-40B4-BE49-F238E27FC236}">
                  <a16:creationId xmlns:a16="http://schemas.microsoft.com/office/drawing/2014/main" id="{1B7BC8B5-9821-8C41-8325-019FD7A46B32}"/>
                </a:ext>
              </a:extLst>
            </xdr:cNvPr>
            <xdr:cNvSpPr/>
          </xdr:nvSpPr>
          <xdr:spPr>
            <a:xfrm>
              <a:off x="17686494" y="9225992"/>
              <a:ext cx="3227685" cy="104740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No of Grains in Ton cultivated in each year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𝐺𝑇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1.1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𝐺𝐴𝐺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+0.9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𝐺𝐴𝐺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+0.8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𝐺𝐴𝐺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+0.65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𝐺𝐴𝐺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4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l"/>
              <a:endParaRPr lang="en-GB" sz="1100"/>
            </a:p>
          </xdr:txBody>
        </xdr:sp>
      </mc:Choice>
      <mc:Fallback xmlns="">
        <xdr:sp macro="" textlink="">
          <xdr:nvSpPr>
            <xdr:cNvPr id="35" name="Rounded Rectangle 34">
              <a:extLst>
                <a:ext uri="{FF2B5EF4-FFF2-40B4-BE49-F238E27FC236}">
                  <a16:creationId xmlns:a16="http://schemas.microsoft.com/office/drawing/2014/main" id="{1B7BC8B5-9821-8C41-8325-019FD7A46B32}"/>
                </a:ext>
              </a:extLst>
            </xdr:cNvPr>
            <xdr:cNvSpPr/>
          </xdr:nvSpPr>
          <xdr:spPr>
            <a:xfrm>
              <a:off x="17686494" y="9225992"/>
              <a:ext cx="3227685" cy="104740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No of Grains in Ton cultivated in each year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𝐺𝑇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1.1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𝐺𝐴𝐺1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+0.9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𝐺𝐴𝐺2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+0.8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𝐺𝐴𝐺3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+0.65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𝐺𝐴𝐺4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l"/>
              <a:endParaRPr lang="en-GB" sz="1100"/>
            </a:p>
          </xdr:txBody>
        </xdr:sp>
      </mc:Fallback>
    </mc:AlternateContent>
    <xdr:clientData/>
  </xdr:twoCellAnchor>
  <xdr:twoCellAnchor>
    <xdr:from>
      <xdr:col>6</xdr:col>
      <xdr:colOff>14111</xdr:colOff>
      <xdr:row>31</xdr:row>
      <xdr:rowOff>169332</xdr:rowOff>
    </xdr:from>
    <xdr:to>
      <xdr:col>6</xdr:col>
      <xdr:colOff>612826</xdr:colOff>
      <xdr:row>35</xdr:row>
      <xdr:rowOff>46366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A3CEBEFA-2316-4444-8A38-250778D21889}"/>
            </a:ext>
          </a:extLst>
        </xdr:cNvPr>
        <xdr:cNvCxnSpPr/>
      </xdr:nvCxnSpPr>
      <xdr:spPr>
        <a:xfrm flipV="1">
          <a:off x="5757333" y="7634110"/>
          <a:ext cx="598715" cy="73781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592667</xdr:colOff>
      <xdr:row>31</xdr:row>
      <xdr:rowOff>177397</xdr:rowOff>
    </xdr:from>
    <xdr:to>
      <xdr:col>18</xdr:col>
      <xdr:colOff>649112</xdr:colOff>
      <xdr:row>31</xdr:row>
      <xdr:rowOff>183444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7B01A551-2237-434C-A19A-4DD1B6504B91}"/>
            </a:ext>
          </a:extLst>
        </xdr:cNvPr>
        <xdr:cNvCxnSpPr/>
      </xdr:nvCxnSpPr>
      <xdr:spPr>
        <a:xfrm>
          <a:off x="6335889" y="7642175"/>
          <a:ext cx="10498667" cy="604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644650</xdr:colOff>
      <xdr:row>31</xdr:row>
      <xdr:rowOff>177568</xdr:rowOff>
    </xdr:from>
    <xdr:to>
      <xdr:col>19</xdr:col>
      <xdr:colOff>386019</xdr:colOff>
      <xdr:row>31</xdr:row>
      <xdr:rowOff>181429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57334A36-DBC7-5B46-B36E-40177450464B}"/>
            </a:ext>
          </a:extLst>
        </xdr:cNvPr>
        <xdr:cNvCxnSpPr/>
      </xdr:nvCxnSpPr>
      <xdr:spPr>
        <a:xfrm flipV="1">
          <a:off x="16853556" y="7840030"/>
          <a:ext cx="579028" cy="386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893186</xdr:colOff>
      <xdr:row>38</xdr:row>
      <xdr:rowOff>139561</xdr:rowOff>
    </xdr:from>
    <xdr:to>
      <xdr:col>18</xdr:col>
      <xdr:colOff>767583</xdr:colOff>
      <xdr:row>38</xdr:row>
      <xdr:rowOff>142198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B66B006F-7939-E440-9F77-87CF389D9575}"/>
            </a:ext>
          </a:extLst>
        </xdr:cNvPr>
        <xdr:cNvCxnSpPr/>
      </xdr:nvCxnSpPr>
      <xdr:spPr>
        <a:xfrm flipV="1">
          <a:off x="16230878" y="9462198"/>
          <a:ext cx="767584" cy="263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767583</xdr:colOff>
      <xdr:row>38</xdr:row>
      <xdr:rowOff>139561</xdr:rowOff>
    </xdr:from>
    <xdr:to>
      <xdr:col>19</xdr:col>
      <xdr:colOff>404725</xdr:colOff>
      <xdr:row>41</xdr:row>
      <xdr:rowOff>83737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45C1A13E-F1BD-D144-9991-BAEF50189794}"/>
            </a:ext>
          </a:extLst>
        </xdr:cNvPr>
        <xdr:cNvCxnSpPr/>
      </xdr:nvCxnSpPr>
      <xdr:spPr>
        <a:xfrm>
          <a:off x="16998462" y="9462198"/>
          <a:ext cx="474505" cy="57219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293077</xdr:colOff>
      <xdr:row>44</xdr:row>
      <xdr:rowOff>655933</xdr:rowOff>
    </xdr:from>
    <xdr:to>
      <xdr:col>21</xdr:col>
      <xdr:colOff>636394</xdr:colOff>
      <xdr:row>50</xdr:row>
      <xdr:rowOff>823406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Rounded Rectangle 56">
              <a:extLst>
                <a:ext uri="{FF2B5EF4-FFF2-40B4-BE49-F238E27FC236}">
                  <a16:creationId xmlns:a16="http://schemas.microsoft.com/office/drawing/2014/main" id="{7998FC8D-32A8-7843-BE3A-AECC3B6D535C}"/>
                </a:ext>
              </a:extLst>
            </xdr:cNvPr>
            <xdr:cNvSpPr/>
          </xdr:nvSpPr>
          <xdr:spPr>
            <a:xfrm>
              <a:off x="15630769" y="11234614"/>
              <a:ext cx="3748592" cy="2721429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Grain grown is equal to the the grain used to feed cow and the grain which were sold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𝐺𝑇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𝐺𝑇𝐶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𝐺𝑇𝑆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</a:p>
            <a:p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Grain Consumed by cow constraint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0.6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&lt;=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𝐺𝑇𝐶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𝐺𝑇𝐵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</a:p>
            <a:p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Cost to buy Grain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𝐺𝑇𝐵𝐶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90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𝐺𝑇𝐵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</a:p>
            <a:p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Profit on selling Grain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𝐺𝑇𝑆𝑃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75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𝐺𝑇𝑆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l"/>
              <a:endParaRPr lang="en-GB" sz="1100"/>
            </a:p>
          </xdr:txBody>
        </xdr:sp>
      </mc:Choice>
      <mc:Fallback xmlns="">
        <xdr:sp macro="" textlink="">
          <xdr:nvSpPr>
            <xdr:cNvPr id="57" name="Rounded Rectangle 56">
              <a:extLst>
                <a:ext uri="{FF2B5EF4-FFF2-40B4-BE49-F238E27FC236}">
                  <a16:creationId xmlns:a16="http://schemas.microsoft.com/office/drawing/2014/main" id="{7998FC8D-32A8-7843-BE3A-AECC3B6D535C}"/>
                </a:ext>
              </a:extLst>
            </xdr:cNvPr>
            <xdr:cNvSpPr/>
          </xdr:nvSpPr>
          <xdr:spPr>
            <a:xfrm>
              <a:off x="15630769" y="11234614"/>
              <a:ext cx="3748592" cy="2721429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Grain grown is equal to the the grain used to feed cow and the grain which were sold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𝐺𝑇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𝐺𝑇𝐶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𝐺𝑇𝑆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</a:p>
            <a:p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Grain Consumed by cow constraint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0.6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&lt;=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𝐺𝑇𝐶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𝐺𝑇𝐵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</a:p>
            <a:p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Cost to buy Grain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𝐺𝑇𝐵𝐶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90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𝐺𝑇𝐵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</a:p>
            <a:p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Profit on selling Grain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𝐺𝑇𝑆𝑃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75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𝐺𝑇𝑆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pPr algn="l"/>
              <a:endParaRPr lang="en-GB" sz="1100"/>
            </a:p>
          </xdr:txBody>
        </xdr:sp>
      </mc:Fallback>
    </mc:AlternateContent>
    <xdr:clientData/>
  </xdr:twoCellAnchor>
  <xdr:twoCellAnchor>
    <xdr:from>
      <xdr:col>16</xdr:col>
      <xdr:colOff>0</xdr:colOff>
      <xdr:row>46</xdr:row>
      <xdr:rowOff>0</xdr:rowOff>
    </xdr:from>
    <xdr:to>
      <xdr:col>17</xdr:col>
      <xdr:colOff>251209</xdr:colOff>
      <xdr:row>46</xdr:row>
      <xdr:rowOff>0</xdr:rowOff>
    </xdr:to>
    <xdr:cxnSp macro="">
      <xdr:nvCxnSpPr>
        <xdr:cNvPr id="58" name="Straight Arrow Connector 57">
          <a:extLst>
            <a:ext uri="{FF2B5EF4-FFF2-40B4-BE49-F238E27FC236}">
              <a16:creationId xmlns:a16="http://schemas.microsoft.com/office/drawing/2014/main" id="{9C7868F3-5B32-E049-AE1B-C7151FA066CD}"/>
            </a:ext>
          </a:extLst>
        </xdr:cNvPr>
        <xdr:cNvCxnSpPr/>
      </xdr:nvCxnSpPr>
      <xdr:spPr>
        <a:xfrm>
          <a:off x="14500330" y="12295275"/>
          <a:ext cx="1088571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488461</xdr:colOff>
      <xdr:row>56</xdr:row>
      <xdr:rowOff>0</xdr:rowOff>
    </xdr:from>
    <xdr:to>
      <xdr:col>24</xdr:col>
      <xdr:colOff>41868</xdr:colOff>
      <xdr:row>63</xdr:row>
      <xdr:rowOff>125604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Rounded Rectangle 59">
              <a:extLst>
                <a:ext uri="{FF2B5EF4-FFF2-40B4-BE49-F238E27FC236}">
                  <a16:creationId xmlns:a16="http://schemas.microsoft.com/office/drawing/2014/main" id="{B92CBE67-A7EF-0F43-B34C-EE71523A598F}"/>
                </a:ext>
              </a:extLst>
            </xdr:cNvPr>
            <xdr:cNvSpPr/>
          </xdr:nvSpPr>
          <xdr:spPr>
            <a:xfrm>
              <a:off x="17556703" y="15044615"/>
              <a:ext cx="3740220" cy="288890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Sugar Beet in Acre converted into Ton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𝑆𝐵𝑇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1.5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𝑆𝐵𝐴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Sugar beet consumed by cow and sold constraint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𝑆𝐵𝑇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𝑆𝐵𝑇𝐶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𝑆𝐵𝑇𝑆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Sugar Beet Consumed by cow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0.7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&lt;=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𝑆𝐵𝑇𝐶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𝑆𝐵𝑇𝐵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The cost to buy sugar beet to feed cow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𝑆𝐵𝑇𝐵𝐶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70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𝑆𝐵𝑇𝐵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Profit on selling sugar Beet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𝑆𝐵𝑇𝑆𝑃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58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𝑆𝐵𝑇𝑆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60" name="Rounded Rectangle 59">
              <a:extLst>
                <a:ext uri="{FF2B5EF4-FFF2-40B4-BE49-F238E27FC236}">
                  <a16:creationId xmlns:a16="http://schemas.microsoft.com/office/drawing/2014/main" id="{B92CBE67-A7EF-0F43-B34C-EE71523A598F}"/>
                </a:ext>
              </a:extLst>
            </xdr:cNvPr>
            <xdr:cNvSpPr/>
          </xdr:nvSpPr>
          <xdr:spPr>
            <a:xfrm>
              <a:off x="17556703" y="15044615"/>
              <a:ext cx="3740220" cy="288890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Sugar Beet in Acre converted into Ton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𝑆𝐵𝑇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1.5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𝑆𝐵𝐴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Sugar beet consumed by cow and sold constraint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𝑆𝐵𝑇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𝑆𝐵𝑇𝐶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𝑆𝐵𝑇𝑆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Sugar Beet Consumed by cow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0.7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&lt;=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𝑆𝐵𝑇𝐶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𝑆𝐵𝑇𝐵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The cost to buy sugar beet to feed cow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𝑆𝐵𝑇𝐵𝐶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70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𝑆𝐵𝑇𝐵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Profit on selling sugar Beet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𝑆𝐵𝑇𝑆𝑃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58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𝑆𝐵𝑇𝑆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twoCellAnchor>
  <xdr:twoCellAnchor>
    <xdr:from>
      <xdr:col>11</xdr:col>
      <xdr:colOff>69781</xdr:colOff>
      <xdr:row>65</xdr:row>
      <xdr:rowOff>111649</xdr:rowOff>
    </xdr:from>
    <xdr:to>
      <xdr:col>15</xdr:col>
      <xdr:colOff>343318</xdr:colOff>
      <xdr:row>68</xdr:row>
      <xdr:rowOff>181429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Rounded Rectangle 60">
              <a:extLst>
                <a:ext uri="{FF2B5EF4-FFF2-40B4-BE49-F238E27FC236}">
                  <a16:creationId xmlns:a16="http://schemas.microsoft.com/office/drawing/2014/main" id="{AAB0C222-C8F6-F64F-B286-95629CF24E75}"/>
                </a:ext>
              </a:extLst>
            </xdr:cNvPr>
            <xdr:cNvSpPr/>
          </xdr:nvSpPr>
          <xdr:spPr>
            <a:xfrm>
              <a:off x="10257693" y="18338242"/>
              <a:ext cx="3748592" cy="1563077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No of acres used by Heifer 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𝐻𝐴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=0.66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𝐻𝑅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+0.66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Acreage Constraint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𝐻𝐴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𝐺𝐴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𝑆𝐵𝐴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&lt;= 200     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61" name="Rounded Rectangle 60">
              <a:extLst>
                <a:ext uri="{FF2B5EF4-FFF2-40B4-BE49-F238E27FC236}">
                  <a16:creationId xmlns:a16="http://schemas.microsoft.com/office/drawing/2014/main" id="{AAB0C222-C8F6-F64F-B286-95629CF24E75}"/>
                </a:ext>
              </a:extLst>
            </xdr:cNvPr>
            <xdr:cNvSpPr/>
          </xdr:nvSpPr>
          <xdr:spPr>
            <a:xfrm>
              <a:off x="10257693" y="18338242"/>
              <a:ext cx="3748592" cy="1563077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No of acres used by Heifer 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𝐻𝐴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=0.66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𝐻𝑅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+0.66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𝐻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Acreage Constraint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𝐻𝐴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𝐺𝐴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𝑆𝐵𝐴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&lt;= 200     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twoCellAnchor>
  <xdr:twoCellAnchor>
    <xdr:from>
      <xdr:col>18</xdr:col>
      <xdr:colOff>13956</xdr:colOff>
      <xdr:row>56</xdr:row>
      <xdr:rowOff>1242088</xdr:rowOff>
    </xdr:from>
    <xdr:to>
      <xdr:col>19</xdr:col>
      <xdr:colOff>474505</xdr:colOff>
      <xdr:row>56</xdr:row>
      <xdr:rowOff>1270000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D8202126-F8AD-744C-A035-56219EC84B0D}"/>
            </a:ext>
          </a:extLst>
        </xdr:cNvPr>
        <xdr:cNvCxnSpPr/>
      </xdr:nvCxnSpPr>
      <xdr:spPr>
        <a:xfrm>
          <a:off x="16244835" y="16286703"/>
          <a:ext cx="1297912" cy="2791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13956</xdr:colOff>
      <xdr:row>65</xdr:row>
      <xdr:rowOff>879231</xdr:rowOff>
    </xdr:from>
    <xdr:to>
      <xdr:col>11</xdr:col>
      <xdr:colOff>69781</xdr:colOff>
      <xdr:row>65</xdr:row>
      <xdr:rowOff>893188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B614AF25-CBB7-0842-8383-32CF8CCE9CEF}"/>
            </a:ext>
          </a:extLst>
        </xdr:cNvPr>
        <xdr:cNvCxnSpPr>
          <a:endCxn id="61" idx="1"/>
        </xdr:cNvCxnSpPr>
      </xdr:nvCxnSpPr>
      <xdr:spPr>
        <a:xfrm>
          <a:off x="9364505" y="19105824"/>
          <a:ext cx="893188" cy="1395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153516</xdr:colOff>
      <xdr:row>75</xdr:row>
      <xdr:rowOff>97692</xdr:rowOff>
    </xdr:from>
    <xdr:to>
      <xdr:col>14</xdr:col>
      <xdr:colOff>552657</xdr:colOff>
      <xdr:row>81</xdr:row>
      <xdr:rowOff>97692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Rounded Rectangle 67">
              <a:extLst>
                <a:ext uri="{FF2B5EF4-FFF2-40B4-BE49-F238E27FC236}">
                  <a16:creationId xmlns:a16="http://schemas.microsoft.com/office/drawing/2014/main" id="{25CCD318-C8D6-DC47-A062-F777A5C11F1A}"/>
                </a:ext>
              </a:extLst>
            </xdr:cNvPr>
            <xdr:cNvSpPr/>
          </xdr:nvSpPr>
          <xdr:spPr>
            <a:xfrm>
              <a:off x="9504065" y="21282967"/>
              <a:ext cx="3748592" cy="168868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Accommodation constraint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𝐻𝑅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&lt;= 130 +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𝐴𝐷𝐶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For j = 1 to 5</a:t>
              </a:r>
            </a:p>
            <a:p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Additional Accommodation cost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𝐴𝐷𝐶𝐶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= 39.71 </a:t>
              </a:r>
              <a14:m>
                <m:oMath xmlns:m="http://schemas.openxmlformats.org/officeDocument/2006/math">
                  <m:nary>
                    <m:naryPr>
                      <m:chr m:val="∑"/>
                      <m:limLoc m:val="undOvr"/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naryPr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𝑘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=1</m:t>
                      </m:r>
                    </m:sub>
                    <m:sup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p>
                    <m:e>
                      <m:sSub>
                        <m:sSubPr>
                          <m:ctrlPr>
                            <a:rPr lang="en-IN" sz="11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𝐴𝐷𝐶</m:t>
                          </m:r>
                        </m:e>
                        <m:sub>
                          <m:r>
                            <a:rPr lang="en-US" sz="11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𝑗</m:t>
                          </m:r>
                        </m:sub>
                      </m:sSub>
                    </m:e>
                  </m:nary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68" name="Rounded Rectangle 67">
              <a:extLst>
                <a:ext uri="{FF2B5EF4-FFF2-40B4-BE49-F238E27FC236}">
                  <a16:creationId xmlns:a16="http://schemas.microsoft.com/office/drawing/2014/main" id="{25CCD318-C8D6-DC47-A062-F777A5C11F1A}"/>
                </a:ext>
              </a:extLst>
            </xdr:cNvPr>
            <xdr:cNvSpPr/>
          </xdr:nvSpPr>
          <xdr:spPr>
            <a:xfrm>
              <a:off x="9504065" y="21282967"/>
              <a:ext cx="3748592" cy="1688681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Accommodation constraint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𝐻𝑅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𝐻1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&lt;= 130 +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𝐴𝐷𝐶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For j = 1 to 5</a:t>
              </a:r>
            </a:p>
            <a:p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Additional Accommodation cost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𝐴𝐷𝐶𝐶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= 39.71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∑1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𝑘=1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^𝑗▒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𝐴𝐷𝐶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twoCellAnchor>
  <xdr:twoCellAnchor>
    <xdr:from>
      <xdr:col>9</xdr:col>
      <xdr:colOff>13956</xdr:colOff>
      <xdr:row>78</xdr:row>
      <xdr:rowOff>0</xdr:rowOff>
    </xdr:from>
    <xdr:to>
      <xdr:col>10</xdr:col>
      <xdr:colOff>139561</xdr:colOff>
      <xdr:row>78</xdr:row>
      <xdr:rowOff>13956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8BD7E25B-461B-BE4E-A5A1-6A918853E5B6}"/>
            </a:ext>
          </a:extLst>
        </xdr:cNvPr>
        <xdr:cNvCxnSpPr/>
      </xdr:nvCxnSpPr>
      <xdr:spPr>
        <a:xfrm>
          <a:off x="8527143" y="22245934"/>
          <a:ext cx="962967" cy="1395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320989</xdr:colOff>
      <xdr:row>89</xdr:row>
      <xdr:rowOff>41868</xdr:rowOff>
    </xdr:from>
    <xdr:to>
      <xdr:col>25</xdr:col>
      <xdr:colOff>720130</xdr:colOff>
      <xdr:row>95</xdr:row>
      <xdr:rowOff>181428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Rounded Rectangle 70">
              <a:extLst>
                <a:ext uri="{FF2B5EF4-FFF2-40B4-BE49-F238E27FC236}">
                  <a16:creationId xmlns:a16="http://schemas.microsoft.com/office/drawing/2014/main" id="{656130C9-E058-2F4A-B6F2-97EC374E96A6}"/>
                </a:ext>
              </a:extLst>
            </xdr:cNvPr>
            <xdr:cNvSpPr/>
          </xdr:nvSpPr>
          <xdr:spPr>
            <a:xfrm>
              <a:off x="19063956" y="25679121"/>
              <a:ext cx="3748592" cy="2051538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Labour constraint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42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+10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𝐻𝑅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+10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+4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𝐺𝐴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+14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𝑆𝐵𝐴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&lt;= 5500 +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𝐴𝐷𝐿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</a:t>
              </a: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Additional Labour cost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𝐴𝐷𝐿𝐶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= 1.2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𝐴𝐷𝐿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71" name="Rounded Rectangle 70">
              <a:extLst>
                <a:ext uri="{FF2B5EF4-FFF2-40B4-BE49-F238E27FC236}">
                  <a16:creationId xmlns:a16="http://schemas.microsoft.com/office/drawing/2014/main" id="{656130C9-E058-2F4A-B6F2-97EC374E96A6}"/>
                </a:ext>
              </a:extLst>
            </xdr:cNvPr>
            <xdr:cNvSpPr/>
          </xdr:nvSpPr>
          <xdr:spPr>
            <a:xfrm>
              <a:off x="19063956" y="25679121"/>
              <a:ext cx="3748592" cy="2051538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Labour constraint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42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+10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𝐻𝑅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+10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𝐻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+4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𝐺𝐴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+14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𝑆𝐵𝐴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&lt;= 5500 +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𝐴𝐷𝐿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</a:t>
              </a: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Additional Labour cost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𝐴𝐷𝐿𝐶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= 1.2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𝐴𝐷𝐿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twoCellAnchor>
  <xdr:twoCellAnchor>
    <xdr:from>
      <xdr:col>20</xdr:col>
      <xdr:colOff>0</xdr:colOff>
      <xdr:row>91</xdr:row>
      <xdr:rowOff>0</xdr:rowOff>
    </xdr:from>
    <xdr:to>
      <xdr:col>21</xdr:col>
      <xdr:colOff>307033</xdr:colOff>
      <xdr:row>91</xdr:row>
      <xdr:rowOff>0</xdr:rowOff>
    </xdr:to>
    <xdr:cxnSp macro="">
      <xdr:nvCxnSpPr>
        <xdr:cNvPr id="72" name="Straight Arrow Connector 71">
          <a:extLst>
            <a:ext uri="{FF2B5EF4-FFF2-40B4-BE49-F238E27FC236}">
              <a16:creationId xmlns:a16="http://schemas.microsoft.com/office/drawing/2014/main" id="{494EC881-374C-FC4B-BBAE-484B12337021}"/>
            </a:ext>
          </a:extLst>
        </xdr:cNvPr>
        <xdr:cNvCxnSpPr/>
      </xdr:nvCxnSpPr>
      <xdr:spPr>
        <a:xfrm>
          <a:off x="17905604" y="26711868"/>
          <a:ext cx="1144396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27912</xdr:colOff>
      <xdr:row>98</xdr:row>
      <xdr:rowOff>153516</xdr:rowOff>
    </xdr:from>
    <xdr:to>
      <xdr:col>11</xdr:col>
      <xdr:colOff>273537</xdr:colOff>
      <xdr:row>104</xdr:row>
      <xdr:rowOff>139560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Rounded Rectangle 73">
              <a:extLst>
                <a:ext uri="{FF2B5EF4-FFF2-40B4-BE49-F238E27FC236}">
                  <a16:creationId xmlns:a16="http://schemas.microsoft.com/office/drawing/2014/main" id="{0CC0E0EF-FDD4-8245-AB82-6186D31B832B}"/>
                </a:ext>
              </a:extLst>
            </xdr:cNvPr>
            <xdr:cNvSpPr/>
          </xdr:nvSpPr>
          <xdr:spPr>
            <a:xfrm>
              <a:off x="6712857" y="28763406"/>
              <a:ext cx="3748592" cy="1465385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Other cost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𝑂𝑇𝐶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= 100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+50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𝐻𝑅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+50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+50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𝐺𝐴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+10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𝑆𝐵𝐴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</a:t>
              </a: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74" name="Rounded Rectangle 73">
              <a:extLst>
                <a:ext uri="{FF2B5EF4-FFF2-40B4-BE49-F238E27FC236}">
                  <a16:creationId xmlns:a16="http://schemas.microsoft.com/office/drawing/2014/main" id="{0CC0E0EF-FDD4-8245-AB82-6186D31B832B}"/>
                </a:ext>
              </a:extLst>
            </xdr:cNvPr>
            <xdr:cNvSpPr/>
          </xdr:nvSpPr>
          <xdr:spPr>
            <a:xfrm>
              <a:off x="6712857" y="28763406"/>
              <a:ext cx="3748592" cy="1465385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Other cost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𝑂𝑇𝐶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= 100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+50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𝐻𝑅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+50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𝐻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+50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𝐺𝐴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+10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𝑆𝐵𝐴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</a:t>
              </a: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twoCellAnchor>
  <xdr:twoCellAnchor>
    <xdr:from>
      <xdr:col>6</xdr:col>
      <xdr:colOff>0</xdr:colOff>
      <xdr:row>102</xdr:row>
      <xdr:rowOff>0</xdr:rowOff>
    </xdr:from>
    <xdr:to>
      <xdr:col>7</xdr:col>
      <xdr:colOff>0</xdr:colOff>
      <xdr:row>102</xdr:row>
      <xdr:rowOff>0</xdr:rowOff>
    </xdr:to>
    <xdr:cxnSp macro="">
      <xdr:nvCxnSpPr>
        <xdr:cNvPr id="75" name="Straight Arrow Connector 74">
          <a:extLst>
            <a:ext uri="{FF2B5EF4-FFF2-40B4-BE49-F238E27FC236}">
              <a16:creationId xmlns:a16="http://schemas.microsoft.com/office/drawing/2014/main" id="{4683BAAB-2BCC-CC45-8641-6487A7B5340B}"/>
            </a:ext>
          </a:extLst>
        </xdr:cNvPr>
        <xdr:cNvCxnSpPr/>
      </xdr:nvCxnSpPr>
      <xdr:spPr>
        <a:xfrm>
          <a:off x="5763846" y="29670549"/>
          <a:ext cx="92109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739671</xdr:colOff>
      <xdr:row>105</xdr:row>
      <xdr:rowOff>181429</xdr:rowOff>
    </xdr:from>
    <xdr:to>
      <xdr:col>14</xdr:col>
      <xdr:colOff>301450</xdr:colOff>
      <xdr:row>109</xdr:row>
      <xdr:rowOff>195384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Rounded Rectangle 77">
              <a:extLst>
                <a:ext uri="{FF2B5EF4-FFF2-40B4-BE49-F238E27FC236}">
                  <a16:creationId xmlns:a16="http://schemas.microsoft.com/office/drawing/2014/main" id="{10619946-93A8-D940-B7F1-20773AD1AD76}"/>
                </a:ext>
              </a:extLst>
            </xdr:cNvPr>
            <xdr:cNvSpPr/>
          </xdr:nvSpPr>
          <xdr:spPr>
            <a:xfrm>
              <a:off x="9252858" y="30480000"/>
              <a:ext cx="3748592" cy="1074615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Profit on selling Milk from Dairy cows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𝑃𝑀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370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78" name="Rounded Rectangle 77">
              <a:extLst>
                <a:ext uri="{FF2B5EF4-FFF2-40B4-BE49-F238E27FC236}">
                  <a16:creationId xmlns:a16="http://schemas.microsoft.com/office/drawing/2014/main" id="{10619946-93A8-D940-B7F1-20773AD1AD76}"/>
                </a:ext>
              </a:extLst>
            </xdr:cNvPr>
            <xdr:cNvSpPr/>
          </xdr:nvSpPr>
          <xdr:spPr>
            <a:xfrm>
              <a:off x="9252858" y="30480000"/>
              <a:ext cx="3748592" cy="1074615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Profit on selling Milk from Dairy cows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𝑃𝑀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370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	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twoCellAnchor>
  <xdr:twoCellAnchor>
    <xdr:from>
      <xdr:col>4</xdr:col>
      <xdr:colOff>0</xdr:colOff>
      <xdr:row>107</xdr:row>
      <xdr:rowOff>111649</xdr:rowOff>
    </xdr:from>
    <xdr:to>
      <xdr:col>4</xdr:col>
      <xdr:colOff>598715</xdr:colOff>
      <xdr:row>111</xdr:row>
      <xdr:rowOff>44506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1310CF00-CDB5-0640-8FE5-00C209F83813}"/>
            </a:ext>
          </a:extLst>
        </xdr:cNvPr>
        <xdr:cNvCxnSpPr/>
      </xdr:nvCxnSpPr>
      <xdr:spPr>
        <a:xfrm flipV="1">
          <a:off x="3921648" y="31052198"/>
          <a:ext cx="598715" cy="7702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614066</xdr:colOff>
      <xdr:row>107</xdr:row>
      <xdr:rowOff>111649</xdr:rowOff>
    </xdr:from>
    <xdr:to>
      <xdr:col>9</xdr:col>
      <xdr:colOff>739670</xdr:colOff>
      <xdr:row>107</xdr:row>
      <xdr:rowOff>125605</xdr:rowOff>
    </xdr:to>
    <xdr:cxnSp macro="">
      <xdr:nvCxnSpPr>
        <xdr:cNvPr id="83" name="Straight Arrow Connector 82">
          <a:extLst>
            <a:ext uri="{FF2B5EF4-FFF2-40B4-BE49-F238E27FC236}">
              <a16:creationId xmlns:a16="http://schemas.microsoft.com/office/drawing/2014/main" id="{706384CD-D8A0-BD45-9398-C91C387F7C6D}"/>
            </a:ext>
          </a:extLst>
        </xdr:cNvPr>
        <xdr:cNvCxnSpPr/>
      </xdr:nvCxnSpPr>
      <xdr:spPr>
        <a:xfrm>
          <a:off x="4535714" y="31052198"/>
          <a:ext cx="4717143" cy="1395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13956</xdr:colOff>
      <xdr:row>122</xdr:row>
      <xdr:rowOff>13956</xdr:rowOff>
    </xdr:from>
    <xdr:to>
      <xdr:col>8</xdr:col>
      <xdr:colOff>612671</xdr:colOff>
      <xdr:row>122</xdr:row>
      <xdr:rowOff>784176</xdr:rowOff>
    </xdr:to>
    <xdr:cxnSp macro="">
      <xdr:nvCxnSpPr>
        <xdr:cNvPr id="90" name="Straight Connector 89">
          <a:extLst>
            <a:ext uri="{FF2B5EF4-FFF2-40B4-BE49-F238E27FC236}">
              <a16:creationId xmlns:a16="http://schemas.microsoft.com/office/drawing/2014/main" id="{66D40AE4-9B95-704D-9DC8-BB78F6CDCCF8}"/>
            </a:ext>
          </a:extLst>
        </xdr:cNvPr>
        <xdr:cNvCxnSpPr/>
      </xdr:nvCxnSpPr>
      <xdr:spPr>
        <a:xfrm flipV="1">
          <a:off x="7592088" y="34959890"/>
          <a:ext cx="598715" cy="7702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614066</xdr:colOff>
      <xdr:row>122</xdr:row>
      <xdr:rowOff>13956</xdr:rowOff>
    </xdr:from>
    <xdr:to>
      <xdr:col>9</xdr:col>
      <xdr:colOff>809450</xdr:colOff>
      <xdr:row>122</xdr:row>
      <xdr:rowOff>13956</xdr:rowOff>
    </xdr:to>
    <xdr:cxnSp macro="">
      <xdr:nvCxnSpPr>
        <xdr:cNvPr id="91" name="Straight Arrow Connector 90">
          <a:extLst>
            <a:ext uri="{FF2B5EF4-FFF2-40B4-BE49-F238E27FC236}">
              <a16:creationId xmlns:a16="http://schemas.microsoft.com/office/drawing/2014/main" id="{17DB917F-451E-3E48-98F8-AFFFD3AB3DAD}"/>
            </a:ext>
          </a:extLst>
        </xdr:cNvPr>
        <xdr:cNvCxnSpPr/>
      </xdr:nvCxnSpPr>
      <xdr:spPr>
        <a:xfrm>
          <a:off x="8192198" y="34959890"/>
          <a:ext cx="1130439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823406</xdr:colOff>
      <xdr:row>120</xdr:row>
      <xdr:rowOff>0</xdr:rowOff>
    </xdr:from>
    <xdr:to>
      <xdr:col>14</xdr:col>
      <xdr:colOff>385185</xdr:colOff>
      <xdr:row>122</xdr:row>
      <xdr:rowOff>655934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3" name="Rounded Rectangle 92">
              <a:extLst>
                <a:ext uri="{FF2B5EF4-FFF2-40B4-BE49-F238E27FC236}">
                  <a16:creationId xmlns:a16="http://schemas.microsoft.com/office/drawing/2014/main" id="{D844E80F-636E-AC49-94E5-E31FB76919F3}"/>
                </a:ext>
              </a:extLst>
            </xdr:cNvPr>
            <xdr:cNvSpPr/>
          </xdr:nvSpPr>
          <xdr:spPr>
            <a:xfrm>
              <a:off x="9336593" y="34527253"/>
              <a:ext cx="3748592" cy="1074615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𝑅𝑒𝑣𝑒𝑛𝑢𝑒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=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𝑃𝑀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𝑃𝐵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𝑃𝐻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+120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12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𝐺𝑇𝑆𝑃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𝑆𝐵𝑇𝑆𝑃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For j = 1 to 5</a:t>
              </a:r>
              <a:endParaRPr lang="en-IN" sz="11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3" name="Rounded Rectangle 92">
              <a:extLst>
                <a:ext uri="{FF2B5EF4-FFF2-40B4-BE49-F238E27FC236}">
                  <a16:creationId xmlns:a16="http://schemas.microsoft.com/office/drawing/2014/main" id="{D844E80F-636E-AC49-94E5-E31FB76919F3}"/>
                </a:ext>
              </a:extLst>
            </xdr:cNvPr>
            <xdr:cNvSpPr/>
          </xdr:nvSpPr>
          <xdr:spPr>
            <a:xfrm>
              <a:off x="9336593" y="34527253"/>
              <a:ext cx="3748592" cy="1074615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𝑅𝑒𝑣𝑒𝑛𝑢𝑒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=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𝑃𝑀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𝑃𝐵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𝑃𝐻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+120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𝐻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12𝑗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+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𝐺𝑇𝑆𝑃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𝑆𝐵𝑇𝑆𝑃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For j = 1 to 5</a:t>
              </a:r>
              <a:endParaRPr lang="en-IN" sz="11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twoCellAnchor>
  <xdr:twoCellAnchor>
    <xdr:from>
      <xdr:col>7</xdr:col>
      <xdr:colOff>13956</xdr:colOff>
      <xdr:row>132</xdr:row>
      <xdr:rowOff>237252</xdr:rowOff>
    </xdr:from>
    <xdr:to>
      <xdr:col>7</xdr:col>
      <xdr:colOff>612671</xdr:colOff>
      <xdr:row>134</xdr:row>
      <xdr:rowOff>156154</xdr:rowOff>
    </xdr:to>
    <xdr:cxnSp macro="">
      <xdr:nvCxnSpPr>
        <xdr:cNvPr id="94" name="Straight Connector 93">
          <a:extLst>
            <a:ext uri="{FF2B5EF4-FFF2-40B4-BE49-F238E27FC236}">
              <a16:creationId xmlns:a16="http://schemas.microsoft.com/office/drawing/2014/main" id="{23B05DA9-7804-B94C-BAA1-D504C62CB31B}"/>
            </a:ext>
          </a:extLst>
        </xdr:cNvPr>
        <xdr:cNvCxnSpPr/>
      </xdr:nvCxnSpPr>
      <xdr:spPr>
        <a:xfrm flipV="1">
          <a:off x="6698901" y="37932527"/>
          <a:ext cx="598715" cy="77022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600110</xdr:colOff>
      <xdr:row>132</xdr:row>
      <xdr:rowOff>209340</xdr:rowOff>
    </xdr:from>
    <xdr:to>
      <xdr:col>8</xdr:col>
      <xdr:colOff>683846</xdr:colOff>
      <xdr:row>132</xdr:row>
      <xdr:rowOff>223296</xdr:rowOff>
    </xdr:to>
    <xdr:cxnSp macro="">
      <xdr:nvCxnSpPr>
        <xdr:cNvPr id="95" name="Straight Arrow Connector 94">
          <a:extLst>
            <a:ext uri="{FF2B5EF4-FFF2-40B4-BE49-F238E27FC236}">
              <a16:creationId xmlns:a16="http://schemas.microsoft.com/office/drawing/2014/main" id="{F6FBE788-8CBE-4647-A43E-25CE05166324}"/>
            </a:ext>
          </a:extLst>
        </xdr:cNvPr>
        <xdr:cNvCxnSpPr/>
      </xdr:nvCxnSpPr>
      <xdr:spPr>
        <a:xfrm flipV="1">
          <a:off x="7285055" y="37904615"/>
          <a:ext cx="976923" cy="1395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697802</xdr:colOff>
      <xdr:row>131</xdr:row>
      <xdr:rowOff>83736</xdr:rowOff>
    </xdr:from>
    <xdr:to>
      <xdr:col>13</xdr:col>
      <xdr:colOff>161889</xdr:colOff>
      <xdr:row>134</xdr:row>
      <xdr:rowOff>97692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7" name="Rounded Rectangle 96">
              <a:extLst>
                <a:ext uri="{FF2B5EF4-FFF2-40B4-BE49-F238E27FC236}">
                  <a16:creationId xmlns:a16="http://schemas.microsoft.com/office/drawing/2014/main" id="{95CDF536-5539-4848-A76B-F8BC69CAAD3D}"/>
                </a:ext>
              </a:extLst>
            </xdr:cNvPr>
            <xdr:cNvSpPr/>
          </xdr:nvSpPr>
          <xdr:spPr>
            <a:xfrm>
              <a:off x="8275934" y="37569670"/>
              <a:ext cx="3748592" cy="1074615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Expenditure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𝐸𝑥𝑝𝑒𝑛𝑑𝑖𝑡𝑢𝑟𝑒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=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𝐺𝑇𝐵𝐶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𝑆𝐵𝑇𝐵𝐶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𝐴𝐷𝐿𝐶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𝐴𝐷𝐶𝐶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+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𝑂𝑇𝐶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+4000.    </a:t>
              </a: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N" sz="11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7" name="Rounded Rectangle 96">
              <a:extLst>
                <a:ext uri="{FF2B5EF4-FFF2-40B4-BE49-F238E27FC236}">
                  <a16:creationId xmlns:a16="http://schemas.microsoft.com/office/drawing/2014/main" id="{95CDF536-5539-4848-A76B-F8BC69CAAD3D}"/>
                </a:ext>
              </a:extLst>
            </xdr:cNvPr>
            <xdr:cNvSpPr/>
          </xdr:nvSpPr>
          <xdr:spPr>
            <a:xfrm>
              <a:off x="8275934" y="37569670"/>
              <a:ext cx="3748592" cy="1074615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Expenditure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𝐸𝑥𝑝𝑒𝑛𝑑𝑖𝑡𝑢𝑟𝑒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=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𝐺𝑇𝐵𝐶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𝑆𝐵𝑇𝐵𝐶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𝐴𝐷𝐿𝐶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𝐴𝐷𝐶𝐶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+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𝑂𝑇𝐶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+4000.    </a:t>
              </a: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N" sz="11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twoCellAnchor>
  <xdr:twoCellAnchor>
    <xdr:from>
      <xdr:col>6</xdr:col>
      <xdr:colOff>27912</xdr:colOff>
      <xdr:row>146</xdr:row>
      <xdr:rowOff>69781</xdr:rowOff>
    </xdr:from>
    <xdr:to>
      <xdr:col>7</xdr:col>
      <xdr:colOff>27912</xdr:colOff>
      <xdr:row>148</xdr:row>
      <xdr:rowOff>27912</xdr:rowOff>
    </xdr:to>
    <xdr:cxnSp macro="">
      <xdr:nvCxnSpPr>
        <xdr:cNvPr id="100" name="Straight Arrow Connector 99">
          <a:extLst>
            <a:ext uri="{FF2B5EF4-FFF2-40B4-BE49-F238E27FC236}">
              <a16:creationId xmlns:a16="http://schemas.microsoft.com/office/drawing/2014/main" id="{6FDD86A2-FE91-C242-A64C-C6830D8E231D}"/>
            </a:ext>
          </a:extLst>
        </xdr:cNvPr>
        <xdr:cNvCxnSpPr/>
      </xdr:nvCxnSpPr>
      <xdr:spPr>
        <a:xfrm>
          <a:off x="5791758" y="41128462"/>
          <a:ext cx="921099" cy="37681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147</xdr:row>
      <xdr:rowOff>181427</xdr:rowOff>
    </xdr:from>
    <xdr:to>
      <xdr:col>11</xdr:col>
      <xdr:colOff>237253</xdr:colOff>
      <xdr:row>153</xdr:row>
      <xdr:rowOff>83735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3" name="Rounded Rectangle 102">
              <a:extLst>
                <a:ext uri="{FF2B5EF4-FFF2-40B4-BE49-F238E27FC236}">
                  <a16:creationId xmlns:a16="http://schemas.microsoft.com/office/drawing/2014/main" id="{9C66EA40-B629-C947-A16C-5BCBB293A27D}"/>
                </a:ext>
              </a:extLst>
            </xdr:cNvPr>
            <xdr:cNvSpPr/>
          </xdr:nvSpPr>
          <xdr:spPr>
            <a:xfrm>
              <a:off x="6684945" y="41449449"/>
              <a:ext cx="3740220" cy="1381649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Profit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𝑃𝑟𝑜𝑓𝑖𝑡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=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𝑅𝑒𝑣𝑒𝑛𝑢𝑒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- </a:t>
              </a:r>
              <a14:m>
                <m:oMath xmlns:m="http://schemas.openxmlformats.org/officeDocument/2006/math">
                  <m:r>
                    <a:rPr lang="en-US" sz="110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 </m:t>
                  </m:r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𝐸𝑥𝑝𝑒𝑛𝑑𝑖𝑡𝑢𝑟𝑒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</a:t>
              </a: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For j = 1 to 5</a:t>
              </a:r>
            </a:p>
            <a:p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Profit Condition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𝑃𝑟𝑜𝑓𝑖𝑡</m:t>
                      </m:r>
                    </m:e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&gt;= 0   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N" sz="11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103" name="Rounded Rectangle 102">
              <a:extLst>
                <a:ext uri="{FF2B5EF4-FFF2-40B4-BE49-F238E27FC236}">
                  <a16:creationId xmlns:a16="http://schemas.microsoft.com/office/drawing/2014/main" id="{9C66EA40-B629-C947-A16C-5BCBB293A27D}"/>
                </a:ext>
              </a:extLst>
            </xdr:cNvPr>
            <xdr:cNvSpPr/>
          </xdr:nvSpPr>
          <xdr:spPr>
            <a:xfrm>
              <a:off x="6684945" y="41449449"/>
              <a:ext cx="3740220" cy="1381649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Profit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𝑃𝑟𝑜𝑓𝑖𝑡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=   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𝑅𝑒𝑣𝑒𝑛𝑢𝑒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-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𝐸𝑥𝑝𝑒𝑛𝑑𝑖𝑡𝑢𝑟𝑒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</a:t>
              </a: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For j = 1 to 5</a:t>
              </a:r>
            </a:p>
            <a:p>
              <a:endPara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Profit Condition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𝑃𝑟𝑜𝑓𝑖𝑡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𝑗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    &gt;= 0   For j = 1 to 5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N" sz="11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twoCellAnchor>
  <xdr:twoCellAnchor>
    <xdr:from>
      <xdr:col>3</xdr:col>
      <xdr:colOff>307033</xdr:colOff>
      <xdr:row>149</xdr:row>
      <xdr:rowOff>13956</xdr:rowOff>
    </xdr:from>
    <xdr:to>
      <xdr:col>3</xdr:col>
      <xdr:colOff>307033</xdr:colOff>
      <xdr:row>151</xdr:row>
      <xdr:rowOff>27912</xdr:rowOff>
    </xdr:to>
    <xdr:cxnSp macro="">
      <xdr:nvCxnSpPr>
        <xdr:cNvPr id="104" name="Straight Arrow Connector 103">
          <a:extLst>
            <a:ext uri="{FF2B5EF4-FFF2-40B4-BE49-F238E27FC236}">
              <a16:creationId xmlns:a16="http://schemas.microsoft.com/office/drawing/2014/main" id="{B7174E3F-068F-D64F-89B1-8F61C09ADB13}"/>
            </a:ext>
          </a:extLst>
        </xdr:cNvPr>
        <xdr:cNvCxnSpPr/>
      </xdr:nvCxnSpPr>
      <xdr:spPr>
        <a:xfrm>
          <a:off x="3321538" y="41923956"/>
          <a:ext cx="0" cy="43263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600109</xdr:colOff>
      <xdr:row>151</xdr:row>
      <xdr:rowOff>41869</xdr:rowOff>
    </xdr:from>
    <xdr:to>
      <xdr:col>5</xdr:col>
      <xdr:colOff>664306</xdr:colOff>
      <xdr:row>156</xdr:row>
      <xdr:rowOff>69780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08" name="Rounded Rectangle 107">
              <a:extLst>
                <a:ext uri="{FF2B5EF4-FFF2-40B4-BE49-F238E27FC236}">
                  <a16:creationId xmlns:a16="http://schemas.microsoft.com/office/drawing/2014/main" id="{FA3AD369-342D-F748-ADA7-5FE7C19D4F46}"/>
                </a:ext>
              </a:extLst>
            </xdr:cNvPr>
            <xdr:cNvSpPr/>
          </xdr:nvSpPr>
          <xdr:spPr>
            <a:xfrm>
              <a:off x="1758461" y="42370550"/>
              <a:ext cx="3748592" cy="1074615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Objective Function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Maximize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:    </a:t>
              </a:r>
              <a14:m>
                <m:oMath xmlns:m="http://schemas.openxmlformats.org/officeDocument/2006/math">
                  <m:nary>
                    <m:naryPr>
                      <m:chr m:val="∑"/>
                      <m:limLoc m:val="undOvr"/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naryPr>
                    <m:sub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=1</m:t>
                      </m:r>
                    </m:sub>
                    <m:sup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5</m:t>
                      </m:r>
                    </m:sup>
                    <m:e>
                      <m:sSub>
                        <m:sSubPr>
                          <m:ctrlPr>
                            <a:rPr lang="en-IN" sz="11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𝑃𝑟𝑜𝑓𝑖𝑡</m:t>
                          </m:r>
                        </m:e>
                        <m:sub>
                          <m:r>
                            <a:rPr lang="en-US" sz="11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𝑗</m:t>
                          </m:r>
                        </m:sub>
                      </m:sSub>
                    </m:e>
                  </m:nary>
                </m:oMath>
              </a14:m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- 39.71 </a:t>
              </a:r>
              <a14:m>
                <m:oMath xmlns:m="http://schemas.openxmlformats.org/officeDocument/2006/math">
                  <m:nary>
                    <m:naryPr>
                      <m:chr m:val="∑"/>
                      <m:limLoc m:val="undOvr"/>
                      <m:ctrlPr>
                        <a:rPr lang="en-IN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naryPr>
                    <m:sub>
                      <m:r>
                        <m:rPr>
                          <m:brk/>
                        </m:rPr>
                        <a:rPr lang="en-GB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=1</m:t>
                      </m:r>
                    </m:sub>
                    <m:sup>
                      <m:r>
                        <a:rPr lang="en-US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5</m:t>
                      </m:r>
                    </m:sup>
                    <m:e>
                      <m:sSub>
                        <m:sSubPr>
                          <m:ctrlPr>
                            <a:rPr lang="en-IN" sz="11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GB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(4+</m:t>
                          </m:r>
                          <m:r>
                            <a:rPr lang="en-GB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𝑗</m:t>
                          </m:r>
                          <m:r>
                            <a:rPr lang="en-GB" sz="11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)</m:t>
                          </m:r>
                          <m:r>
                            <a:rPr lang="en-US" sz="11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𝐴𝐷𝐶</m:t>
                          </m:r>
                        </m:e>
                        <m:sub>
                          <m:r>
                            <a:rPr lang="en-US" sz="110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𝑗</m:t>
                          </m:r>
                        </m:sub>
                      </m:sSub>
                    </m:e>
                  </m:nary>
                </m:oMath>
              </a14:m>
              <a:endParaRPr lang="en-IN" sz="11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N" sz="11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Choice>
      <mc:Fallback>
        <xdr:sp macro="" textlink="">
          <xdr:nvSpPr>
            <xdr:cNvPr id="108" name="Rounded Rectangle 107">
              <a:extLst>
                <a:ext uri="{FF2B5EF4-FFF2-40B4-BE49-F238E27FC236}">
                  <a16:creationId xmlns:a16="http://schemas.microsoft.com/office/drawing/2014/main" id="{FA3AD369-342D-F748-ADA7-5FE7C19D4F46}"/>
                </a:ext>
              </a:extLst>
            </xdr:cNvPr>
            <xdr:cNvSpPr/>
          </xdr:nvSpPr>
          <xdr:spPr>
            <a:xfrm>
              <a:off x="1758461" y="42370550"/>
              <a:ext cx="3748592" cy="1074615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sz="11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Objective Function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endParaRPr lang="en-IN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r>
                <a:rPr lang="en-US" sz="1100" b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Maximize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:   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∑1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𝑗=1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^5▒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𝑃𝑟𝑜𝑓𝑖𝑡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</a:t>
              </a:r>
              <a:r>
                <a:rPr lang="en-US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- 39.71 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∑1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=1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^5▒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(4+𝑗)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𝐴𝐷𝐶</a:t>
              </a:r>
              <a:r>
                <a:rPr lang="en-IN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𝑗 </a:t>
              </a:r>
              <a:endParaRPr lang="en-IN" sz="11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n-IN" sz="11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twoCellAnchor>
  <xdr:twoCellAnchor>
    <xdr:from>
      <xdr:col>0</xdr:col>
      <xdr:colOff>823407</xdr:colOff>
      <xdr:row>168</xdr:row>
      <xdr:rowOff>97692</xdr:rowOff>
    </xdr:from>
    <xdr:to>
      <xdr:col>1</xdr:col>
      <xdr:colOff>669890</xdr:colOff>
      <xdr:row>171</xdr:row>
      <xdr:rowOff>181429</xdr:rowOff>
    </xdr:to>
    <xdr:sp macro="[0]!year1" textlink="">
      <xdr:nvSpPr>
        <xdr:cNvPr id="19" name="Rounded Rectangle 18">
          <a:extLst>
            <a:ext uri="{FF2B5EF4-FFF2-40B4-BE49-F238E27FC236}">
              <a16:creationId xmlns:a16="http://schemas.microsoft.com/office/drawing/2014/main" id="{8344898C-2E29-98D5-DBD5-4BF769994D50}"/>
            </a:ext>
          </a:extLst>
        </xdr:cNvPr>
        <xdr:cNvSpPr/>
      </xdr:nvSpPr>
      <xdr:spPr>
        <a:xfrm>
          <a:off x="823407" y="45985165"/>
          <a:ext cx="1004835" cy="71175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Year 1</a:t>
          </a:r>
        </a:p>
      </xdr:txBody>
    </xdr:sp>
    <xdr:clientData/>
  </xdr:twoCellAnchor>
  <xdr:twoCellAnchor>
    <xdr:from>
      <xdr:col>0</xdr:col>
      <xdr:colOff>851319</xdr:colOff>
      <xdr:row>172</xdr:row>
      <xdr:rowOff>139560</xdr:rowOff>
    </xdr:from>
    <xdr:to>
      <xdr:col>1</xdr:col>
      <xdr:colOff>697802</xdr:colOff>
      <xdr:row>176</xdr:row>
      <xdr:rowOff>13956</xdr:rowOff>
    </xdr:to>
    <xdr:sp macro="[0]!year2" textlink="">
      <xdr:nvSpPr>
        <xdr:cNvPr id="20" name="Rounded Rectangle 19">
          <a:extLst>
            <a:ext uri="{FF2B5EF4-FFF2-40B4-BE49-F238E27FC236}">
              <a16:creationId xmlns:a16="http://schemas.microsoft.com/office/drawing/2014/main" id="{07196075-B9E7-2743-AD12-40FF974A915B}"/>
            </a:ext>
          </a:extLst>
        </xdr:cNvPr>
        <xdr:cNvSpPr/>
      </xdr:nvSpPr>
      <xdr:spPr>
        <a:xfrm>
          <a:off x="851319" y="46864395"/>
          <a:ext cx="1004835" cy="71175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Year 2</a:t>
          </a:r>
        </a:p>
      </xdr:txBody>
    </xdr:sp>
    <xdr:clientData/>
  </xdr:twoCellAnchor>
  <xdr:twoCellAnchor>
    <xdr:from>
      <xdr:col>0</xdr:col>
      <xdr:colOff>893187</xdr:colOff>
      <xdr:row>176</xdr:row>
      <xdr:rowOff>195384</xdr:rowOff>
    </xdr:from>
    <xdr:to>
      <xdr:col>1</xdr:col>
      <xdr:colOff>739670</xdr:colOff>
      <xdr:row>180</xdr:row>
      <xdr:rowOff>69781</xdr:rowOff>
    </xdr:to>
    <xdr:sp macro="[0]!year3" textlink="">
      <xdr:nvSpPr>
        <xdr:cNvPr id="21" name="Rounded Rectangle 20">
          <a:extLst>
            <a:ext uri="{FF2B5EF4-FFF2-40B4-BE49-F238E27FC236}">
              <a16:creationId xmlns:a16="http://schemas.microsoft.com/office/drawing/2014/main" id="{DA1F5844-57A0-B843-93F5-2CBBADE632F8}"/>
            </a:ext>
          </a:extLst>
        </xdr:cNvPr>
        <xdr:cNvSpPr/>
      </xdr:nvSpPr>
      <xdr:spPr>
        <a:xfrm>
          <a:off x="893187" y="47757582"/>
          <a:ext cx="1004835" cy="71175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Year 3</a:t>
          </a:r>
        </a:p>
      </xdr:txBody>
    </xdr:sp>
    <xdr:clientData/>
  </xdr:twoCellAnchor>
  <xdr:twoCellAnchor>
    <xdr:from>
      <xdr:col>0</xdr:col>
      <xdr:colOff>907143</xdr:colOff>
      <xdr:row>181</xdr:row>
      <xdr:rowOff>83735</xdr:rowOff>
    </xdr:from>
    <xdr:to>
      <xdr:col>1</xdr:col>
      <xdr:colOff>753626</xdr:colOff>
      <xdr:row>184</xdr:row>
      <xdr:rowOff>167472</xdr:rowOff>
    </xdr:to>
    <xdr:sp macro="[0]!Module4.year4" textlink="">
      <xdr:nvSpPr>
        <xdr:cNvPr id="22" name="Rounded Rectangle 21">
          <a:extLst>
            <a:ext uri="{FF2B5EF4-FFF2-40B4-BE49-F238E27FC236}">
              <a16:creationId xmlns:a16="http://schemas.microsoft.com/office/drawing/2014/main" id="{1A10F869-C04B-3942-8DF1-771D7D1B9EAF}"/>
            </a:ext>
          </a:extLst>
        </xdr:cNvPr>
        <xdr:cNvSpPr/>
      </xdr:nvSpPr>
      <xdr:spPr>
        <a:xfrm>
          <a:off x="907143" y="48692636"/>
          <a:ext cx="1004835" cy="71175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Year 4</a:t>
          </a:r>
        </a:p>
      </xdr:txBody>
    </xdr:sp>
    <xdr:clientData/>
  </xdr:twoCellAnchor>
  <xdr:twoCellAnchor>
    <xdr:from>
      <xdr:col>0</xdr:col>
      <xdr:colOff>935055</xdr:colOff>
      <xdr:row>186</xdr:row>
      <xdr:rowOff>97693</xdr:rowOff>
    </xdr:from>
    <xdr:to>
      <xdr:col>1</xdr:col>
      <xdr:colOff>781538</xdr:colOff>
      <xdr:row>189</xdr:row>
      <xdr:rowOff>181430</xdr:rowOff>
    </xdr:to>
    <xdr:sp macro="[0]!year5" textlink="">
      <xdr:nvSpPr>
        <xdr:cNvPr id="23" name="Rounded Rectangle 22">
          <a:extLst>
            <a:ext uri="{FF2B5EF4-FFF2-40B4-BE49-F238E27FC236}">
              <a16:creationId xmlns:a16="http://schemas.microsoft.com/office/drawing/2014/main" id="{BC4A2D57-BE88-364C-A2A2-96DC16872C86}"/>
            </a:ext>
          </a:extLst>
        </xdr:cNvPr>
        <xdr:cNvSpPr/>
      </xdr:nvSpPr>
      <xdr:spPr>
        <a:xfrm>
          <a:off x="935055" y="49753297"/>
          <a:ext cx="1004835" cy="711759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Year 5</a:t>
          </a:r>
        </a:p>
      </xdr:txBody>
    </xdr:sp>
    <xdr:clientData/>
  </xdr:twoCellAnchor>
  <xdr:twoCellAnchor>
    <xdr:from>
      <xdr:col>0</xdr:col>
      <xdr:colOff>935055</xdr:colOff>
      <xdr:row>163</xdr:row>
      <xdr:rowOff>181429</xdr:rowOff>
    </xdr:from>
    <xdr:to>
      <xdr:col>1</xdr:col>
      <xdr:colOff>362857</xdr:colOff>
      <xdr:row>166</xdr:row>
      <xdr:rowOff>181429</xdr:rowOff>
    </xdr:to>
    <xdr:sp macro="[0]!_xludf.clear" textlink="">
      <xdr:nvSpPr>
        <xdr:cNvPr id="24" name="&quot;No&quot; Symbol 23">
          <a:extLst>
            <a:ext uri="{FF2B5EF4-FFF2-40B4-BE49-F238E27FC236}">
              <a16:creationId xmlns:a16="http://schemas.microsoft.com/office/drawing/2014/main" id="{C3CEEC94-0FA9-8109-28CD-711C36B9F8CB}"/>
            </a:ext>
          </a:extLst>
        </xdr:cNvPr>
        <xdr:cNvSpPr/>
      </xdr:nvSpPr>
      <xdr:spPr>
        <a:xfrm>
          <a:off x="935055" y="45022198"/>
          <a:ext cx="586154" cy="628022"/>
        </a:xfrm>
        <a:prstGeom prst="noSmoking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51637</xdr:colOff>
      <xdr:row>163</xdr:row>
      <xdr:rowOff>3071</xdr:rowOff>
    </xdr:from>
    <xdr:to>
      <xdr:col>8</xdr:col>
      <xdr:colOff>60010</xdr:colOff>
      <xdr:row>176</xdr:row>
      <xdr:rowOff>24842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7F3C3DE9-6CA6-7035-59CE-C54C3ADDEE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233066</xdr:colOff>
      <xdr:row>163</xdr:row>
      <xdr:rowOff>17026</xdr:rowOff>
    </xdr:from>
    <xdr:to>
      <xdr:col>13</xdr:col>
      <xdr:colOff>520561</xdr:colOff>
      <xdr:row>176</xdr:row>
      <xdr:rowOff>38797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47D017C-F068-E300-1CC3-DD692CFCF0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51638</xdr:colOff>
      <xdr:row>177</xdr:row>
      <xdr:rowOff>142631</xdr:rowOff>
    </xdr:from>
    <xdr:to>
      <xdr:col>8</xdr:col>
      <xdr:colOff>60011</xdr:colOff>
      <xdr:row>190</xdr:row>
      <xdr:rowOff>164402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9020525A-79C1-69E2-D4D2-241C0CFA4F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358671</xdr:colOff>
      <xdr:row>177</xdr:row>
      <xdr:rowOff>114718</xdr:rowOff>
    </xdr:from>
    <xdr:to>
      <xdr:col>13</xdr:col>
      <xdr:colOff>646166</xdr:colOff>
      <xdr:row>190</xdr:row>
      <xdr:rowOff>136489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FD2B9F93-4F2C-72AE-102F-49F9521F64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816429</xdr:colOff>
      <xdr:row>2</xdr:row>
      <xdr:rowOff>40822</xdr:rowOff>
    </xdr:from>
    <xdr:to>
      <xdr:col>21</xdr:col>
      <xdr:colOff>690561</xdr:colOff>
      <xdr:row>13</xdr:row>
      <xdr:rowOff>107156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05" name="Rectangle: Rounded Corners 604">
              <a:extLst>
                <a:ext uri="{FF2B5EF4-FFF2-40B4-BE49-F238E27FC236}">
                  <a16:creationId xmlns:a16="http://schemas.microsoft.com/office/drawing/2014/main" id="{22F77E56-35F9-2946-2F82-6CB9C66E77A4}"/>
                </a:ext>
              </a:extLst>
            </xdr:cNvPr>
            <xdr:cNvSpPr/>
          </xdr:nvSpPr>
          <xdr:spPr>
            <a:xfrm>
              <a:off x="16282648" y="445635"/>
              <a:ext cx="3255507" cy="2495209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GB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Th</a:t>
              </a:r>
              <a:r>
                <a:rPr lang="en-GB" sz="11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e number of cows in the current year is given in the question</a:t>
              </a:r>
              <a:endParaRPr lang="en-GB">
                <a:solidFill>
                  <a:sysClr val="windowText" lastClr="000000"/>
                </a:solidFill>
                <a:effectLst/>
              </a:endParaRPr>
            </a:p>
            <a:p>
              <a:r>
                <a:rPr lang="en-GB" sz="11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Initial Condition :</a:t>
              </a:r>
              <a:endParaRPr lang="en-GB">
                <a:solidFill>
                  <a:sysClr val="windowText" lastClr="000000"/>
                </a:solidFill>
                <a:effectLst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11</m:t>
                      </m:r>
                    </m:sub>
                  </m:sSub>
                </m:oMath>
              </a14:m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= 9.5    </a:t>
              </a:r>
              <a:endParaRPr lang="en-GB">
                <a:solidFill>
                  <a:sysClr val="windowText" lastClr="000000"/>
                </a:solidFill>
                <a:effectLst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21</m:t>
                      </m:r>
                    </m:sub>
                  </m:sSub>
                </m:oMath>
              </a14:m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= 9.8</a:t>
              </a:r>
              <a:endParaRPr lang="en-GB">
                <a:solidFill>
                  <a:sysClr val="windowText" lastClr="000000"/>
                </a:solidFill>
                <a:effectLst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</m:t>
                      </m:r>
                    </m:sub>
                  </m:sSub>
                </m:oMath>
              </a14:m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= 9.8    for i = 3 to 12</a:t>
              </a:r>
              <a:endParaRPr lang="en-GB">
                <a:solidFill>
                  <a:sysClr val="windowText" lastClr="000000"/>
                </a:solidFill>
                <a:effectLst/>
              </a:endParaRPr>
            </a:p>
            <a:p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CONTINUITY CONDITIONS </a:t>
              </a:r>
              <a:endParaRPr lang="en-GB">
                <a:solidFill>
                  <a:sysClr val="windowText" lastClr="000000"/>
                </a:solidFill>
                <a:effectLst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1,</m:t>
                      </m:r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+1</m:t>
                      </m:r>
                    </m:sub>
                  </m:sSub>
                </m:oMath>
              </a14:m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= 0.95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𝑅</m:t>
                      </m:r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        For j = 1 to 4</a:t>
              </a:r>
              <a:br>
                <a:rPr lang="en-US" sz="1100" i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</a:b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2,</m:t>
                      </m:r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+1</m:t>
                      </m:r>
                    </m:sub>
                  </m:sSub>
                </m:oMath>
              </a14:m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= 0.95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𝐻</m:t>
                      </m:r>
                    </m:e>
                    <m:sub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1,</m:t>
                      </m:r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  <m:r>
                    <a:rPr lang="en-US" sz="1100" b="0" i="1">
                      <a:solidFill>
                        <a:sysClr val="windowText" lastClr="000000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          </m:t>
                  </m:r>
                </m:oMath>
              </a14:m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For j = 1 to 4</a:t>
              </a:r>
              <a:endParaRPr lang="en-GB">
                <a:solidFill>
                  <a:sysClr val="windowText" lastClr="000000"/>
                </a:solidFill>
                <a:effectLst/>
              </a:endParaRPr>
            </a:p>
            <a:p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+1</m:t>
                      </m:r>
                    </m:sub>
                  </m:sSub>
                </m:oMath>
              </a14:m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= 0.98 </a:t>
              </a:r>
              <a14:m>
                <m:oMath xmlns:m="http://schemas.openxmlformats.org/officeDocument/2006/math">
                  <m:sSub>
                    <m:sSubPr>
                      <m:ctrlPr>
                        <a:rPr lang="en-IN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𝐶</m:t>
                      </m:r>
                    </m:e>
                    <m:sub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𝑖</m:t>
                      </m:r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−1,</m:t>
                      </m:r>
                      <m:r>
                        <a:rPr lang="en-US" sz="1100" i="1">
                          <a:solidFill>
                            <a:sysClr val="windowText" lastClr="000000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𝑗</m:t>
                      </m:r>
                    </m:sub>
                  </m:sSub>
                </m:oMath>
              </a14:m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    For i = 3 to 12   For j = 1 to 4</a:t>
              </a:r>
              <a:endParaRPr lang="en-GB">
                <a:solidFill>
                  <a:sysClr val="windowText" lastClr="000000"/>
                </a:solidFill>
                <a:effectLst/>
              </a:endParaRPr>
            </a:p>
            <a:p>
              <a:pPr algn="l"/>
              <a:endParaRPr lang="en-GB" sz="1100"/>
            </a:p>
          </xdr:txBody>
        </xdr:sp>
      </mc:Choice>
      <mc:Fallback>
        <xdr:sp macro="" textlink="">
          <xdr:nvSpPr>
            <xdr:cNvPr id="605" name="Rectangle: Rounded Corners 604">
              <a:extLst>
                <a:ext uri="{FF2B5EF4-FFF2-40B4-BE49-F238E27FC236}">
                  <a16:creationId xmlns:a16="http://schemas.microsoft.com/office/drawing/2014/main" id="{22F77E56-35F9-2946-2F82-6CB9C66E77A4}"/>
                </a:ext>
              </a:extLst>
            </xdr:cNvPr>
            <xdr:cNvSpPr/>
          </xdr:nvSpPr>
          <xdr:spPr>
            <a:xfrm>
              <a:off x="16282648" y="445635"/>
              <a:ext cx="3255507" cy="2495209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GB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Th</a:t>
              </a:r>
              <a:r>
                <a:rPr lang="en-GB" sz="11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e number of cows in the current year is given in the question</a:t>
              </a:r>
              <a:endParaRPr lang="en-GB">
                <a:solidFill>
                  <a:sysClr val="windowText" lastClr="000000"/>
                </a:solidFill>
                <a:effectLst/>
              </a:endParaRPr>
            </a:p>
            <a:p>
              <a:r>
                <a:rPr lang="en-GB" sz="1100" baseline="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Initial Condition :</a:t>
              </a:r>
              <a:endParaRPr lang="en-GB">
                <a:solidFill>
                  <a:sysClr val="windowText" lastClr="000000"/>
                </a:solidFill>
                <a:effectLst/>
              </a:endParaRPr>
            </a:p>
            <a:p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</a:t>
              </a:r>
              <a:r>
                <a:rPr lang="en-IN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11</a:t>
              </a:r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= 9.5    </a:t>
              </a:r>
              <a:endParaRPr lang="en-GB">
                <a:solidFill>
                  <a:sysClr val="windowText" lastClr="000000"/>
                </a:solidFill>
                <a:effectLst/>
              </a:endParaRPr>
            </a:p>
            <a:p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IN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21</a:t>
              </a:r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= 9.8</a:t>
              </a:r>
              <a:endParaRPr lang="en-GB">
                <a:solidFill>
                  <a:sysClr val="windowText" lastClr="000000"/>
                </a:solidFill>
                <a:effectLst/>
              </a:endParaRPr>
            </a:p>
            <a:p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IN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𝑖1</a:t>
              </a:r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= 9.8    for i = 3 to 12</a:t>
              </a:r>
              <a:endParaRPr lang="en-GB">
                <a:solidFill>
                  <a:sysClr val="windowText" lastClr="000000"/>
                </a:solidFill>
                <a:effectLst/>
              </a:endParaRPr>
            </a:p>
            <a:p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CONTINUITY CONDITIONS </a:t>
              </a:r>
              <a:endParaRPr lang="en-GB">
                <a:solidFill>
                  <a:sysClr val="windowText" lastClr="000000"/>
                </a:solidFill>
                <a:effectLst/>
              </a:endParaRPr>
            </a:p>
            <a:p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</a:t>
              </a:r>
              <a:r>
                <a:rPr lang="en-IN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1,𝑗+1</a:t>
              </a:r>
              <a:r>
                <a:rPr lang="en-IN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= 0.95 </a:t>
              </a:r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</a:t>
              </a:r>
              <a:r>
                <a:rPr lang="en-IN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𝑅,𝑗</a:t>
              </a:r>
              <a:r>
                <a:rPr lang="en-IN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        For j = 1 to 4</a:t>
              </a:r>
              <a:br>
                <a:rPr lang="en-US" sz="1100" i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</a:br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IN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2,𝑗+1</a:t>
              </a:r>
              <a:r>
                <a:rPr lang="en-IN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= 0.95 </a:t>
              </a:r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</a:t>
              </a:r>
              <a:r>
                <a:rPr lang="en-IN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1,𝑗</a:t>
              </a:r>
              <a:r>
                <a:rPr lang="en-IN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          </a:t>
              </a:r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For j = 1 to 4</a:t>
              </a:r>
              <a:endParaRPr lang="en-GB">
                <a:solidFill>
                  <a:sysClr val="windowText" lastClr="000000"/>
                </a:solidFill>
                <a:effectLst/>
              </a:endParaRPr>
            </a:p>
            <a:p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IN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𝑖,𝑗+1</a:t>
              </a:r>
              <a:r>
                <a:rPr lang="en-IN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= 0.98 </a:t>
              </a:r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IN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𝑖−1,𝑗</a:t>
              </a:r>
              <a:r>
                <a:rPr lang="en-IN" sz="110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sz="1100">
                  <a:solidFill>
                    <a:sysClr val="windowText" lastClr="000000"/>
                  </a:solidFill>
                  <a:effectLst/>
                  <a:latin typeface="+mn-lt"/>
                  <a:ea typeface="+mn-ea"/>
                  <a:cs typeface="+mn-cs"/>
                </a:rPr>
                <a:t>     For i = 3 to 12   For j = 1 to 4</a:t>
              </a:r>
              <a:endParaRPr lang="en-GB">
                <a:solidFill>
                  <a:sysClr val="windowText" lastClr="000000"/>
                </a:solidFill>
                <a:effectLst/>
              </a:endParaRPr>
            </a:p>
            <a:p>
              <a:pPr algn="l"/>
              <a:endParaRPr lang="en-GB" sz="1100"/>
            </a:p>
          </xdr:txBody>
        </xdr:sp>
      </mc:Fallback>
    </mc:AlternateContent>
    <xdr:clientData/>
  </xdr:twoCellAnchor>
  <xdr:twoCellAnchor>
    <xdr:from>
      <xdr:col>17</xdr:col>
      <xdr:colOff>0</xdr:colOff>
      <xdr:row>8</xdr:row>
      <xdr:rowOff>189996</xdr:rowOff>
    </xdr:from>
    <xdr:to>
      <xdr:col>17</xdr:col>
      <xdr:colOff>775607</xdr:colOff>
      <xdr:row>8</xdr:row>
      <xdr:rowOff>190500</xdr:rowOff>
    </xdr:to>
    <xdr:cxnSp macro="">
      <xdr:nvCxnSpPr>
        <xdr:cNvPr id="606" name="Straight Arrow Connector 605">
          <a:extLst>
            <a:ext uri="{FF2B5EF4-FFF2-40B4-BE49-F238E27FC236}">
              <a16:creationId xmlns:a16="http://schemas.microsoft.com/office/drawing/2014/main" id="{657D0C04-7487-40CE-85A0-F6A49089FB61}"/>
            </a:ext>
          </a:extLst>
        </xdr:cNvPr>
        <xdr:cNvCxnSpPr/>
      </xdr:nvCxnSpPr>
      <xdr:spPr>
        <a:xfrm>
          <a:off x="15525750" y="2013353"/>
          <a:ext cx="775607" cy="50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6</xdr:row>
      <xdr:rowOff>0</xdr:rowOff>
    </xdr:from>
    <xdr:to>
      <xdr:col>5</xdr:col>
      <xdr:colOff>0</xdr:colOff>
      <xdr:row>11</xdr:row>
      <xdr:rowOff>0</xdr:rowOff>
    </xdr:to>
    <xdr:sp macro="" textlink="">
      <xdr:nvSpPr>
        <xdr:cNvPr id="640" name="OpenSolver1">
          <a:extLst>
            <a:ext uri="{FF2B5EF4-FFF2-40B4-BE49-F238E27FC236}">
              <a16:creationId xmlns:a16="http://schemas.microsoft.com/office/drawing/2014/main" id="{921885D7-88EA-8E4A-E878-6FFE08C69FB2}"/>
            </a:ext>
          </a:extLst>
        </xdr:cNvPr>
        <xdr:cNvSpPr/>
      </xdr:nvSpPr>
      <xdr:spPr>
        <a:xfrm>
          <a:off x="3000375" y="1400175"/>
          <a:ext cx="1819275" cy="1000125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0</xdr:colOff>
      <xdr:row>36</xdr:row>
      <xdr:rowOff>0</xdr:rowOff>
    </xdr:from>
    <xdr:to>
      <xdr:col>5</xdr:col>
      <xdr:colOff>0</xdr:colOff>
      <xdr:row>41</xdr:row>
      <xdr:rowOff>0</xdr:rowOff>
    </xdr:to>
    <xdr:sp macro="" textlink="">
      <xdr:nvSpPr>
        <xdr:cNvPr id="641" name="OpenSolver2">
          <a:extLst>
            <a:ext uri="{FF2B5EF4-FFF2-40B4-BE49-F238E27FC236}">
              <a16:creationId xmlns:a16="http://schemas.microsoft.com/office/drawing/2014/main" id="{E098F4B5-2E8E-E153-6300-B88A8D0B9F39}"/>
            </a:ext>
          </a:extLst>
        </xdr:cNvPr>
        <xdr:cNvSpPr/>
      </xdr:nvSpPr>
      <xdr:spPr>
        <a:xfrm>
          <a:off x="1152525" y="8467725"/>
          <a:ext cx="3667125" cy="1000125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45</xdr:row>
      <xdr:rowOff>0</xdr:rowOff>
    </xdr:from>
    <xdr:to>
      <xdr:col>9</xdr:col>
      <xdr:colOff>0</xdr:colOff>
      <xdr:row>50</xdr:row>
      <xdr:rowOff>0</xdr:rowOff>
    </xdr:to>
    <xdr:sp macro="" textlink="">
      <xdr:nvSpPr>
        <xdr:cNvPr id="642" name="OpenSolver3">
          <a:extLst>
            <a:ext uri="{FF2B5EF4-FFF2-40B4-BE49-F238E27FC236}">
              <a16:creationId xmlns:a16="http://schemas.microsoft.com/office/drawing/2014/main" id="{6DA03AB0-C84F-DC52-12E0-076545FD1003}"/>
            </a:ext>
          </a:extLst>
        </xdr:cNvPr>
        <xdr:cNvSpPr/>
      </xdr:nvSpPr>
      <xdr:spPr>
        <a:xfrm>
          <a:off x="5734050" y="11468100"/>
          <a:ext cx="2752725" cy="1000125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57</xdr:row>
      <xdr:rowOff>0</xdr:rowOff>
    </xdr:from>
    <xdr:to>
      <xdr:col>9</xdr:col>
      <xdr:colOff>0</xdr:colOff>
      <xdr:row>62</xdr:row>
      <xdr:rowOff>0</xdr:rowOff>
    </xdr:to>
    <xdr:sp macro="" textlink="">
      <xdr:nvSpPr>
        <xdr:cNvPr id="643" name="OpenSolver4">
          <a:extLst>
            <a:ext uri="{FF2B5EF4-FFF2-40B4-BE49-F238E27FC236}">
              <a16:creationId xmlns:a16="http://schemas.microsoft.com/office/drawing/2014/main" id="{2E62BF8A-F237-8495-ED87-3EB091C7B626}"/>
            </a:ext>
          </a:extLst>
        </xdr:cNvPr>
        <xdr:cNvSpPr/>
      </xdr:nvSpPr>
      <xdr:spPr>
        <a:xfrm>
          <a:off x="5734050" y="15668625"/>
          <a:ext cx="2752725" cy="1000125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0</xdr:colOff>
      <xdr:row>57</xdr:row>
      <xdr:rowOff>0</xdr:rowOff>
    </xdr:from>
    <xdr:to>
      <xdr:col>18</xdr:col>
      <xdr:colOff>0</xdr:colOff>
      <xdr:row>62</xdr:row>
      <xdr:rowOff>0</xdr:rowOff>
    </xdr:to>
    <xdr:sp macro="" textlink="">
      <xdr:nvSpPr>
        <xdr:cNvPr id="644" name="OpenSolver5">
          <a:extLst>
            <a:ext uri="{FF2B5EF4-FFF2-40B4-BE49-F238E27FC236}">
              <a16:creationId xmlns:a16="http://schemas.microsoft.com/office/drawing/2014/main" id="{ADBAE3D9-9F87-76DF-6F61-D632356C1E7A}"/>
            </a:ext>
          </a:extLst>
        </xdr:cNvPr>
        <xdr:cNvSpPr/>
      </xdr:nvSpPr>
      <xdr:spPr>
        <a:xfrm>
          <a:off x="15487650" y="15668625"/>
          <a:ext cx="885825" cy="1000125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77</xdr:row>
      <xdr:rowOff>0</xdr:rowOff>
    </xdr:from>
    <xdr:to>
      <xdr:col>6</xdr:col>
      <xdr:colOff>0</xdr:colOff>
      <xdr:row>82</xdr:row>
      <xdr:rowOff>0</xdr:rowOff>
    </xdr:to>
    <xdr:sp macro="" textlink="">
      <xdr:nvSpPr>
        <xdr:cNvPr id="645" name="OpenSolver6">
          <a:extLst>
            <a:ext uri="{FF2B5EF4-FFF2-40B4-BE49-F238E27FC236}">
              <a16:creationId xmlns:a16="http://schemas.microsoft.com/office/drawing/2014/main" id="{CAA23630-2456-72E1-45A6-A846B5E3A19C}"/>
            </a:ext>
          </a:extLst>
        </xdr:cNvPr>
        <xdr:cNvSpPr/>
      </xdr:nvSpPr>
      <xdr:spPr>
        <a:xfrm>
          <a:off x="4819650" y="20869275"/>
          <a:ext cx="914400" cy="1000125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15</xdr:col>
      <xdr:colOff>0</xdr:colOff>
      <xdr:row>90</xdr:row>
      <xdr:rowOff>0</xdr:rowOff>
    </xdr:from>
    <xdr:to>
      <xdr:col>16</xdr:col>
      <xdr:colOff>0</xdr:colOff>
      <xdr:row>95</xdr:row>
      <xdr:rowOff>0</xdr:rowOff>
    </xdr:to>
    <xdr:sp macro="" textlink="">
      <xdr:nvSpPr>
        <xdr:cNvPr id="646" name="OpenSolver7">
          <a:extLst>
            <a:ext uri="{FF2B5EF4-FFF2-40B4-BE49-F238E27FC236}">
              <a16:creationId xmlns:a16="http://schemas.microsoft.com/office/drawing/2014/main" id="{2DEB5E32-DC4F-25C3-FB95-4CDA5A2AA953}"/>
            </a:ext>
          </a:extLst>
        </xdr:cNvPr>
        <xdr:cNvSpPr/>
      </xdr:nvSpPr>
      <xdr:spPr>
        <a:xfrm>
          <a:off x="13639800" y="25269825"/>
          <a:ext cx="838200" cy="1000125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148</xdr:row>
      <xdr:rowOff>0</xdr:rowOff>
    </xdr:from>
    <xdr:to>
      <xdr:col>4</xdr:col>
      <xdr:colOff>0</xdr:colOff>
      <xdr:row>149</xdr:row>
      <xdr:rowOff>0</xdr:rowOff>
    </xdr:to>
    <xdr:sp macro="" textlink="">
      <xdr:nvSpPr>
        <xdr:cNvPr id="647" name="OpenSolver8">
          <a:extLst>
            <a:ext uri="{FF2B5EF4-FFF2-40B4-BE49-F238E27FC236}">
              <a16:creationId xmlns:a16="http://schemas.microsoft.com/office/drawing/2014/main" id="{9C37B865-44DA-891E-B177-2706A1F9F12A}"/>
            </a:ext>
          </a:extLst>
        </xdr:cNvPr>
        <xdr:cNvSpPr/>
      </xdr:nvSpPr>
      <xdr:spPr>
        <a:xfrm>
          <a:off x="3000375" y="39471600"/>
          <a:ext cx="9048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946150</xdr:colOff>
      <xdr:row>147</xdr:row>
      <xdr:rowOff>123825</xdr:rowOff>
    </xdr:from>
    <xdr:to>
      <xdr:col>3</xdr:col>
      <xdr:colOff>233360</xdr:colOff>
      <xdr:row>148</xdr:row>
      <xdr:rowOff>50800</xdr:rowOff>
    </xdr:to>
    <xdr:sp macro="" textlink="">
      <xdr:nvSpPr>
        <xdr:cNvPr id="648" name="OpenSolver9">
          <a:extLst>
            <a:ext uri="{FF2B5EF4-FFF2-40B4-BE49-F238E27FC236}">
              <a16:creationId xmlns:a16="http://schemas.microsoft.com/office/drawing/2014/main" id="{4CF8131A-A3F9-7694-6B33-054D3A02D86E}"/>
            </a:ext>
          </a:extLst>
        </xdr:cNvPr>
        <xdr:cNvSpPr/>
      </xdr:nvSpPr>
      <xdr:spPr>
        <a:xfrm>
          <a:off x="2984500" y="39395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GB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1</xdr:col>
      <xdr:colOff>0</xdr:colOff>
      <xdr:row>36</xdr:row>
      <xdr:rowOff>0</xdr:rowOff>
    </xdr:from>
    <xdr:to>
      <xdr:col>2</xdr:col>
      <xdr:colOff>0</xdr:colOff>
      <xdr:row>41</xdr:row>
      <xdr:rowOff>0</xdr:rowOff>
    </xdr:to>
    <xdr:sp macro="" textlink="">
      <xdr:nvSpPr>
        <xdr:cNvPr id="649" name="OpenSolver10">
          <a:extLst>
            <a:ext uri="{FF2B5EF4-FFF2-40B4-BE49-F238E27FC236}">
              <a16:creationId xmlns:a16="http://schemas.microsoft.com/office/drawing/2014/main" id="{9446B07B-8E52-6E8D-A193-7D1EC4B38C2B}"/>
            </a:ext>
          </a:extLst>
        </xdr:cNvPr>
        <xdr:cNvSpPr/>
      </xdr:nvSpPr>
      <xdr:spPr>
        <a:xfrm>
          <a:off x="1152525" y="8467725"/>
          <a:ext cx="885825" cy="10001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</xdr:col>
      <xdr:colOff>0</xdr:colOff>
      <xdr:row>42</xdr:row>
      <xdr:rowOff>0</xdr:rowOff>
    </xdr:from>
    <xdr:to>
      <xdr:col>2</xdr:col>
      <xdr:colOff>0</xdr:colOff>
      <xdr:row>43</xdr:row>
      <xdr:rowOff>0</xdr:rowOff>
    </xdr:to>
    <xdr:sp macro="" textlink="">
      <xdr:nvSpPr>
        <xdr:cNvPr id="650" name="OpenSolver11">
          <a:extLst>
            <a:ext uri="{FF2B5EF4-FFF2-40B4-BE49-F238E27FC236}">
              <a16:creationId xmlns:a16="http://schemas.microsoft.com/office/drawing/2014/main" id="{4F4A9619-205D-04F1-56C8-8DDD3DE41972}"/>
            </a:ext>
          </a:extLst>
        </xdr:cNvPr>
        <xdr:cNvSpPr/>
      </xdr:nvSpPr>
      <xdr:spPr>
        <a:xfrm>
          <a:off x="1152525" y="9667875"/>
          <a:ext cx="88582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GB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</xdr:col>
      <xdr:colOff>442913</xdr:colOff>
      <xdr:row>41</xdr:row>
      <xdr:rowOff>0</xdr:rowOff>
    </xdr:from>
    <xdr:to>
      <xdr:col>1</xdr:col>
      <xdr:colOff>442913</xdr:colOff>
      <xdr:row>42</xdr:row>
      <xdr:rowOff>0</xdr:rowOff>
    </xdr:to>
    <xdr:cxnSp macro="">
      <xdr:nvCxnSpPr>
        <xdr:cNvPr id="651" name="OpenSolver12">
          <a:extLst>
            <a:ext uri="{FF2B5EF4-FFF2-40B4-BE49-F238E27FC236}">
              <a16:creationId xmlns:a16="http://schemas.microsoft.com/office/drawing/2014/main" id="{E35781EA-D707-61E3-5E73-8D56C597BDE0}"/>
            </a:ext>
          </a:extLst>
        </xdr:cNvPr>
        <xdr:cNvCxnSpPr>
          <a:stCxn id="649" idx="2"/>
          <a:endCxn id="650" idx="0"/>
        </xdr:cNvCxnSpPr>
      </xdr:nvCxnSpPr>
      <xdr:spPr>
        <a:xfrm>
          <a:off x="1595438" y="94678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252413</xdr:colOff>
      <xdr:row>40</xdr:row>
      <xdr:rowOff>173038</xdr:rowOff>
    </xdr:from>
    <xdr:to>
      <xdr:col>1</xdr:col>
      <xdr:colOff>633413</xdr:colOff>
      <xdr:row>42</xdr:row>
      <xdr:rowOff>26988</xdr:rowOff>
    </xdr:to>
    <xdr:sp macro="" textlink="">
      <xdr:nvSpPr>
        <xdr:cNvPr id="652" name="OpenSolver13">
          <a:extLst>
            <a:ext uri="{FF2B5EF4-FFF2-40B4-BE49-F238E27FC236}">
              <a16:creationId xmlns:a16="http://schemas.microsoft.com/office/drawing/2014/main" id="{7C63FA3D-4BB4-3455-137E-FCE11FE10FFE}"/>
            </a:ext>
          </a:extLst>
        </xdr:cNvPr>
        <xdr:cNvSpPr/>
      </xdr:nvSpPr>
      <xdr:spPr>
        <a:xfrm>
          <a:off x="1404938" y="9440863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0</xdr:colOff>
      <xdr:row>77</xdr:row>
      <xdr:rowOff>0</xdr:rowOff>
    </xdr:from>
    <xdr:to>
      <xdr:col>2</xdr:col>
      <xdr:colOff>0</xdr:colOff>
      <xdr:row>82</xdr:row>
      <xdr:rowOff>0</xdr:rowOff>
    </xdr:to>
    <xdr:sp macro="" textlink="">
      <xdr:nvSpPr>
        <xdr:cNvPr id="653" name="OpenSolver14">
          <a:extLst>
            <a:ext uri="{FF2B5EF4-FFF2-40B4-BE49-F238E27FC236}">
              <a16:creationId xmlns:a16="http://schemas.microsoft.com/office/drawing/2014/main" id="{5C0B5457-F7C7-F950-FD65-994115BDC184}"/>
            </a:ext>
          </a:extLst>
        </xdr:cNvPr>
        <xdr:cNvSpPr/>
      </xdr:nvSpPr>
      <xdr:spPr>
        <a:xfrm>
          <a:off x="1152525" y="20869275"/>
          <a:ext cx="885825" cy="1000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77</xdr:row>
      <xdr:rowOff>0</xdr:rowOff>
    </xdr:from>
    <xdr:to>
      <xdr:col>4</xdr:col>
      <xdr:colOff>0</xdr:colOff>
      <xdr:row>82</xdr:row>
      <xdr:rowOff>0</xdr:rowOff>
    </xdr:to>
    <xdr:sp macro="" textlink="">
      <xdr:nvSpPr>
        <xdr:cNvPr id="654" name="OpenSolver15">
          <a:extLst>
            <a:ext uri="{FF2B5EF4-FFF2-40B4-BE49-F238E27FC236}">
              <a16:creationId xmlns:a16="http://schemas.microsoft.com/office/drawing/2014/main" id="{C4F600A3-84F0-F405-DE5B-7FBE89427736}"/>
            </a:ext>
          </a:extLst>
        </xdr:cNvPr>
        <xdr:cNvSpPr/>
      </xdr:nvSpPr>
      <xdr:spPr>
        <a:xfrm>
          <a:off x="3000375" y="20869275"/>
          <a:ext cx="904875" cy="1000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GB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79</xdr:row>
      <xdr:rowOff>100013</xdr:rowOff>
    </xdr:from>
    <xdr:to>
      <xdr:col>3</xdr:col>
      <xdr:colOff>0</xdr:colOff>
      <xdr:row>79</xdr:row>
      <xdr:rowOff>100013</xdr:rowOff>
    </xdr:to>
    <xdr:cxnSp macro="">
      <xdr:nvCxnSpPr>
        <xdr:cNvPr id="655" name="OpenSolver16">
          <a:extLst>
            <a:ext uri="{FF2B5EF4-FFF2-40B4-BE49-F238E27FC236}">
              <a16:creationId xmlns:a16="http://schemas.microsoft.com/office/drawing/2014/main" id="{81D58722-F3CD-A1C9-7BB7-091168D03F74}"/>
            </a:ext>
          </a:extLst>
        </xdr:cNvPr>
        <xdr:cNvCxnSpPr>
          <a:stCxn id="653" idx="3"/>
          <a:endCxn id="654" idx="1"/>
        </xdr:cNvCxnSpPr>
      </xdr:nvCxnSpPr>
      <xdr:spPr>
        <a:xfrm>
          <a:off x="2038350" y="21369338"/>
          <a:ext cx="962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290513</xdr:colOff>
      <xdr:row>78</xdr:row>
      <xdr:rowOff>173038</xdr:rowOff>
    </xdr:from>
    <xdr:to>
      <xdr:col>2</xdr:col>
      <xdr:colOff>671513</xdr:colOff>
      <xdr:row>80</xdr:row>
      <xdr:rowOff>26988</xdr:rowOff>
    </xdr:to>
    <xdr:sp macro="" textlink="">
      <xdr:nvSpPr>
        <xdr:cNvPr id="656" name="OpenSolver17">
          <a:extLst>
            <a:ext uri="{FF2B5EF4-FFF2-40B4-BE49-F238E27FC236}">
              <a16:creationId xmlns:a16="http://schemas.microsoft.com/office/drawing/2014/main" id="{799E1A00-07D9-7BAB-409F-A95C9FE26282}"/>
            </a:ext>
          </a:extLst>
        </xdr:cNvPr>
        <xdr:cNvSpPr/>
      </xdr:nvSpPr>
      <xdr:spPr>
        <a:xfrm>
          <a:off x="2328863" y="21242338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0</xdr:colOff>
      <xdr:row>36</xdr:row>
      <xdr:rowOff>0</xdr:rowOff>
    </xdr:from>
    <xdr:to>
      <xdr:col>3</xdr:col>
      <xdr:colOff>0</xdr:colOff>
      <xdr:row>41</xdr:row>
      <xdr:rowOff>0</xdr:rowOff>
    </xdr:to>
    <xdr:sp macro="" textlink="">
      <xdr:nvSpPr>
        <xdr:cNvPr id="657" name="OpenSolver18">
          <a:extLst>
            <a:ext uri="{FF2B5EF4-FFF2-40B4-BE49-F238E27FC236}">
              <a16:creationId xmlns:a16="http://schemas.microsoft.com/office/drawing/2014/main" id="{1EEB592B-741C-9EA1-C5D7-70776592C541}"/>
            </a:ext>
          </a:extLst>
        </xdr:cNvPr>
        <xdr:cNvSpPr/>
      </xdr:nvSpPr>
      <xdr:spPr>
        <a:xfrm>
          <a:off x="2038350" y="8467725"/>
          <a:ext cx="962025" cy="10001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</xdr:col>
      <xdr:colOff>0</xdr:colOff>
      <xdr:row>42</xdr:row>
      <xdr:rowOff>0</xdr:rowOff>
    </xdr:from>
    <xdr:to>
      <xdr:col>3</xdr:col>
      <xdr:colOff>0</xdr:colOff>
      <xdr:row>43</xdr:row>
      <xdr:rowOff>0</xdr:rowOff>
    </xdr:to>
    <xdr:sp macro="" textlink="">
      <xdr:nvSpPr>
        <xdr:cNvPr id="658" name="OpenSolver19">
          <a:extLst>
            <a:ext uri="{FF2B5EF4-FFF2-40B4-BE49-F238E27FC236}">
              <a16:creationId xmlns:a16="http://schemas.microsoft.com/office/drawing/2014/main" id="{0B4C2C13-E81C-B27A-1BEC-2B0A66548318}"/>
            </a:ext>
          </a:extLst>
        </xdr:cNvPr>
        <xdr:cNvSpPr/>
      </xdr:nvSpPr>
      <xdr:spPr>
        <a:xfrm>
          <a:off x="2038350" y="9667875"/>
          <a:ext cx="962025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GB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</xdr:col>
      <xdr:colOff>481013</xdr:colOff>
      <xdr:row>41</xdr:row>
      <xdr:rowOff>0</xdr:rowOff>
    </xdr:from>
    <xdr:to>
      <xdr:col>2</xdr:col>
      <xdr:colOff>481013</xdr:colOff>
      <xdr:row>42</xdr:row>
      <xdr:rowOff>0</xdr:rowOff>
    </xdr:to>
    <xdr:cxnSp macro="">
      <xdr:nvCxnSpPr>
        <xdr:cNvPr id="659" name="OpenSolver20">
          <a:extLst>
            <a:ext uri="{FF2B5EF4-FFF2-40B4-BE49-F238E27FC236}">
              <a16:creationId xmlns:a16="http://schemas.microsoft.com/office/drawing/2014/main" id="{B2BFAD90-D5B1-E725-CD25-74E9D90B2A46}"/>
            </a:ext>
          </a:extLst>
        </xdr:cNvPr>
        <xdr:cNvCxnSpPr>
          <a:stCxn id="657" idx="2"/>
          <a:endCxn id="658" idx="0"/>
        </xdr:cNvCxnSpPr>
      </xdr:nvCxnSpPr>
      <xdr:spPr>
        <a:xfrm>
          <a:off x="2519363" y="9467850"/>
          <a:ext cx="0" cy="200025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290513</xdr:colOff>
      <xdr:row>40</xdr:row>
      <xdr:rowOff>173038</xdr:rowOff>
    </xdr:from>
    <xdr:to>
      <xdr:col>2</xdr:col>
      <xdr:colOff>671513</xdr:colOff>
      <xdr:row>42</xdr:row>
      <xdr:rowOff>26988</xdr:rowOff>
    </xdr:to>
    <xdr:sp macro="" textlink="">
      <xdr:nvSpPr>
        <xdr:cNvPr id="660" name="OpenSolver21">
          <a:extLst>
            <a:ext uri="{FF2B5EF4-FFF2-40B4-BE49-F238E27FC236}">
              <a16:creationId xmlns:a16="http://schemas.microsoft.com/office/drawing/2014/main" id="{62201207-4967-951B-A4AF-821AF349B454}"/>
            </a:ext>
          </a:extLst>
        </xdr:cNvPr>
        <xdr:cNvSpPr/>
      </xdr:nvSpPr>
      <xdr:spPr>
        <a:xfrm>
          <a:off x="2328863" y="9440863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0</xdr:colOff>
      <xdr:row>143</xdr:row>
      <xdr:rowOff>0</xdr:rowOff>
    </xdr:from>
    <xdr:to>
      <xdr:col>4</xdr:col>
      <xdr:colOff>0</xdr:colOff>
      <xdr:row>148</xdr:row>
      <xdr:rowOff>0</xdr:rowOff>
    </xdr:to>
    <xdr:sp macro="" textlink="">
      <xdr:nvSpPr>
        <xdr:cNvPr id="661" name="OpenSolver22">
          <a:extLst>
            <a:ext uri="{FF2B5EF4-FFF2-40B4-BE49-F238E27FC236}">
              <a16:creationId xmlns:a16="http://schemas.microsoft.com/office/drawing/2014/main" id="{F423EC1D-C20C-E729-A975-1C68858D1527}"/>
            </a:ext>
          </a:extLst>
        </xdr:cNvPr>
        <xdr:cNvSpPr/>
      </xdr:nvSpPr>
      <xdr:spPr>
        <a:xfrm>
          <a:off x="3000375" y="38471475"/>
          <a:ext cx="904875" cy="10001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</xdr:col>
      <xdr:colOff>0</xdr:colOff>
      <xdr:row>143</xdr:row>
      <xdr:rowOff>0</xdr:rowOff>
    </xdr:from>
    <xdr:to>
      <xdr:col>6</xdr:col>
      <xdr:colOff>0</xdr:colOff>
      <xdr:row>148</xdr:row>
      <xdr:rowOff>0</xdr:rowOff>
    </xdr:to>
    <xdr:sp macro="" textlink="">
      <xdr:nvSpPr>
        <xdr:cNvPr id="662" name="OpenSolver23">
          <a:extLst>
            <a:ext uri="{FF2B5EF4-FFF2-40B4-BE49-F238E27FC236}">
              <a16:creationId xmlns:a16="http://schemas.microsoft.com/office/drawing/2014/main" id="{DFFAC4C8-A468-B9BE-C419-0DB498292945}"/>
            </a:ext>
          </a:extLst>
        </xdr:cNvPr>
        <xdr:cNvSpPr/>
      </xdr:nvSpPr>
      <xdr:spPr>
        <a:xfrm>
          <a:off x="4819650" y="38471475"/>
          <a:ext cx="914400" cy="10001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GB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0</xdr:colOff>
      <xdr:row>145</xdr:row>
      <xdr:rowOff>100013</xdr:rowOff>
    </xdr:from>
    <xdr:to>
      <xdr:col>5</xdr:col>
      <xdr:colOff>0</xdr:colOff>
      <xdr:row>145</xdr:row>
      <xdr:rowOff>100013</xdr:rowOff>
    </xdr:to>
    <xdr:cxnSp macro="">
      <xdr:nvCxnSpPr>
        <xdr:cNvPr id="663" name="OpenSolver24">
          <a:extLst>
            <a:ext uri="{FF2B5EF4-FFF2-40B4-BE49-F238E27FC236}">
              <a16:creationId xmlns:a16="http://schemas.microsoft.com/office/drawing/2014/main" id="{724F6953-CF19-3910-40E2-D2B0F76D61F9}"/>
            </a:ext>
          </a:extLst>
        </xdr:cNvPr>
        <xdr:cNvCxnSpPr>
          <a:stCxn id="661" idx="3"/>
          <a:endCxn id="662" idx="1"/>
        </xdr:cNvCxnSpPr>
      </xdr:nvCxnSpPr>
      <xdr:spPr>
        <a:xfrm>
          <a:off x="3905250" y="38971538"/>
          <a:ext cx="9144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266700</xdr:colOff>
      <xdr:row>144</xdr:row>
      <xdr:rowOff>173038</xdr:rowOff>
    </xdr:from>
    <xdr:to>
      <xdr:col>4</xdr:col>
      <xdr:colOff>647700</xdr:colOff>
      <xdr:row>146</xdr:row>
      <xdr:rowOff>26988</xdr:rowOff>
    </xdr:to>
    <xdr:sp macro="" textlink="">
      <xdr:nvSpPr>
        <xdr:cNvPr id="664" name="OpenSolver25">
          <a:extLst>
            <a:ext uri="{FF2B5EF4-FFF2-40B4-BE49-F238E27FC236}">
              <a16:creationId xmlns:a16="http://schemas.microsoft.com/office/drawing/2014/main" id="{D9A98215-099E-14B5-3401-10984B6680D0}"/>
            </a:ext>
          </a:extLst>
        </xdr:cNvPr>
        <xdr:cNvSpPr/>
      </xdr:nvSpPr>
      <xdr:spPr>
        <a:xfrm>
          <a:off x="4171950" y="38844538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0</xdr:colOff>
      <xdr:row>36</xdr:row>
      <xdr:rowOff>0</xdr:rowOff>
    </xdr:from>
    <xdr:to>
      <xdr:col>4</xdr:col>
      <xdr:colOff>0</xdr:colOff>
      <xdr:row>41</xdr:row>
      <xdr:rowOff>0</xdr:rowOff>
    </xdr:to>
    <xdr:sp macro="" textlink="">
      <xdr:nvSpPr>
        <xdr:cNvPr id="665" name="OpenSolver26">
          <a:extLst>
            <a:ext uri="{FF2B5EF4-FFF2-40B4-BE49-F238E27FC236}">
              <a16:creationId xmlns:a16="http://schemas.microsoft.com/office/drawing/2014/main" id="{4A007C2F-510E-C022-06E1-170780F51B65}"/>
            </a:ext>
          </a:extLst>
        </xdr:cNvPr>
        <xdr:cNvSpPr/>
      </xdr:nvSpPr>
      <xdr:spPr>
        <a:xfrm>
          <a:off x="3000375" y="8467725"/>
          <a:ext cx="904875" cy="10001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3</xdr:col>
      <xdr:colOff>0</xdr:colOff>
      <xdr:row>42</xdr:row>
      <xdr:rowOff>0</xdr:rowOff>
    </xdr:from>
    <xdr:to>
      <xdr:col>4</xdr:col>
      <xdr:colOff>0</xdr:colOff>
      <xdr:row>43</xdr:row>
      <xdr:rowOff>0</xdr:rowOff>
    </xdr:to>
    <xdr:sp macro="" textlink="">
      <xdr:nvSpPr>
        <xdr:cNvPr id="666" name="OpenSolver27">
          <a:extLst>
            <a:ext uri="{FF2B5EF4-FFF2-40B4-BE49-F238E27FC236}">
              <a16:creationId xmlns:a16="http://schemas.microsoft.com/office/drawing/2014/main" id="{7068F360-DE35-6D31-5F24-42A21848B017}"/>
            </a:ext>
          </a:extLst>
        </xdr:cNvPr>
        <xdr:cNvSpPr/>
      </xdr:nvSpPr>
      <xdr:spPr>
        <a:xfrm>
          <a:off x="3000375" y="9667875"/>
          <a:ext cx="9048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GB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3</xdr:col>
      <xdr:colOff>452438</xdr:colOff>
      <xdr:row>41</xdr:row>
      <xdr:rowOff>0</xdr:rowOff>
    </xdr:from>
    <xdr:to>
      <xdr:col>3</xdr:col>
      <xdr:colOff>452438</xdr:colOff>
      <xdr:row>42</xdr:row>
      <xdr:rowOff>0</xdr:rowOff>
    </xdr:to>
    <xdr:cxnSp macro="">
      <xdr:nvCxnSpPr>
        <xdr:cNvPr id="667" name="OpenSolver28">
          <a:extLst>
            <a:ext uri="{FF2B5EF4-FFF2-40B4-BE49-F238E27FC236}">
              <a16:creationId xmlns:a16="http://schemas.microsoft.com/office/drawing/2014/main" id="{25E95D63-7356-D0BA-15CC-7C2CC7EFE493}"/>
            </a:ext>
          </a:extLst>
        </xdr:cNvPr>
        <xdr:cNvCxnSpPr>
          <a:stCxn id="665" idx="2"/>
          <a:endCxn id="666" idx="0"/>
        </xdr:cNvCxnSpPr>
      </xdr:nvCxnSpPr>
      <xdr:spPr>
        <a:xfrm>
          <a:off x="3452813" y="94678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261938</xdr:colOff>
      <xdr:row>40</xdr:row>
      <xdr:rowOff>173038</xdr:rowOff>
    </xdr:from>
    <xdr:to>
      <xdr:col>3</xdr:col>
      <xdr:colOff>642938</xdr:colOff>
      <xdr:row>42</xdr:row>
      <xdr:rowOff>26988</xdr:rowOff>
    </xdr:to>
    <xdr:sp macro="" textlink="">
      <xdr:nvSpPr>
        <xdr:cNvPr id="668" name="OpenSolver29">
          <a:extLst>
            <a:ext uri="{FF2B5EF4-FFF2-40B4-BE49-F238E27FC236}">
              <a16:creationId xmlns:a16="http://schemas.microsoft.com/office/drawing/2014/main" id="{A552F33B-ACF5-D9FA-A79D-917B640B094C}"/>
            </a:ext>
          </a:extLst>
        </xdr:cNvPr>
        <xdr:cNvSpPr/>
      </xdr:nvSpPr>
      <xdr:spPr>
        <a:xfrm>
          <a:off x="3262313" y="9440863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0</xdr:colOff>
      <xdr:row>45</xdr:row>
      <xdr:rowOff>0</xdr:rowOff>
    </xdr:from>
    <xdr:to>
      <xdr:col>4</xdr:col>
      <xdr:colOff>0</xdr:colOff>
      <xdr:row>50</xdr:row>
      <xdr:rowOff>0</xdr:rowOff>
    </xdr:to>
    <xdr:sp macro="" textlink="">
      <xdr:nvSpPr>
        <xdr:cNvPr id="669" name="OpenSolver30">
          <a:extLst>
            <a:ext uri="{FF2B5EF4-FFF2-40B4-BE49-F238E27FC236}">
              <a16:creationId xmlns:a16="http://schemas.microsoft.com/office/drawing/2014/main" id="{176543A4-E8BC-3117-F7B8-956DE0E52754}"/>
            </a:ext>
          </a:extLst>
        </xdr:cNvPr>
        <xdr:cNvSpPr/>
      </xdr:nvSpPr>
      <xdr:spPr>
        <a:xfrm>
          <a:off x="3000375" y="11468100"/>
          <a:ext cx="904875" cy="10001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5</xdr:col>
      <xdr:colOff>0</xdr:colOff>
      <xdr:row>45</xdr:row>
      <xdr:rowOff>0</xdr:rowOff>
    </xdr:from>
    <xdr:to>
      <xdr:col>6</xdr:col>
      <xdr:colOff>0</xdr:colOff>
      <xdr:row>50</xdr:row>
      <xdr:rowOff>0</xdr:rowOff>
    </xdr:to>
    <xdr:sp macro="" textlink="">
      <xdr:nvSpPr>
        <xdr:cNvPr id="670" name="OpenSolver31">
          <a:extLst>
            <a:ext uri="{FF2B5EF4-FFF2-40B4-BE49-F238E27FC236}">
              <a16:creationId xmlns:a16="http://schemas.microsoft.com/office/drawing/2014/main" id="{84973A9D-1899-3021-BF06-8443C0887A2F}"/>
            </a:ext>
          </a:extLst>
        </xdr:cNvPr>
        <xdr:cNvSpPr/>
      </xdr:nvSpPr>
      <xdr:spPr>
        <a:xfrm>
          <a:off x="4819650" y="11468100"/>
          <a:ext cx="914400" cy="10001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GB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4</xdr:col>
      <xdr:colOff>0</xdr:colOff>
      <xdr:row>47</xdr:row>
      <xdr:rowOff>100013</xdr:rowOff>
    </xdr:from>
    <xdr:to>
      <xdr:col>5</xdr:col>
      <xdr:colOff>0</xdr:colOff>
      <xdr:row>47</xdr:row>
      <xdr:rowOff>100013</xdr:rowOff>
    </xdr:to>
    <xdr:cxnSp macro="">
      <xdr:nvCxnSpPr>
        <xdr:cNvPr id="671" name="OpenSolver32">
          <a:extLst>
            <a:ext uri="{FF2B5EF4-FFF2-40B4-BE49-F238E27FC236}">
              <a16:creationId xmlns:a16="http://schemas.microsoft.com/office/drawing/2014/main" id="{326B7501-43B6-2A99-73F9-BB2455FB81CF}"/>
            </a:ext>
          </a:extLst>
        </xdr:cNvPr>
        <xdr:cNvCxnSpPr>
          <a:stCxn id="669" idx="3"/>
          <a:endCxn id="670" idx="1"/>
        </xdr:cNvCxnSpPr>
      </xdr:nvCxnSpPr>
      <xdr:spPr>
        <a:xfrm>
          <a:off x="3905250" y="11968163"/>
          <a:ext cx="9144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266700</xdr:colOff>
      <xdr:row>46</xdr:row>
      <xdr:rowOff>173038</xdr:rowOff>
    </xdr:from>
    <xdr:to>
      <xdr:col>4</xdr:col>
      <xdr:colOff>647700</xdr:colOff>
      <xdr:row>48</xdr:row>
      <xdr:rowOff>26988</xdr:rowOff>
    </xdr:to>
    <xdr:sp macro="" textlink="">
      <xdr:nvSpPr>
        <xdr:cNvPr id="672" name="OpenSolver33">
          <a:extLst>
            <a:ext uri="{FF2B5EF4-FFF2-40B4-BE49-F238E27FC236}">
              <a16:creationId xmlns:a16="http://schemas.microsoft.com/office/drawing/2014/main" id="{599AD9B2-2144-BFEF-19E6-9896D2B3AFC5}"/>
            </a:ext>
          </a:extLst>
        </xdr:cNvPr>
        <xdr:cNvSpPr/>
      </xdr:nvSpPr>
      <xdr:spPr>
        <a:xfrm>
          <a:off x="4171950" y="11841163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0</xdr:colOff>
      <xdr:row>57</xdr:row>
      <xdr:rowOff>0</xdr:rowOff>
    </xdr:from>
    <xdr:to>
      <xdr:col>4</xdr:col>
      <xdr:colOff>0</xdr:colOff>
      <xdr:row>62</xdr:row>
      <xdr:rowOff>0</xdr:rowOff>
    </xdr:to>
    <xdr:sp macro="" textlink="">
      <xdr:nvSpPr>
        <xdr:cNvPr id="673" name="OpenSolver34">
          <a:extLst>
            <a:ext uri="{FF2B5EF4-FFF2-40B4-BE49-F238E27FC236}">
              <a16:creationId xmlns:a16="http://schemas.microsoft.com/office/drawing/2014/main" id="{2D6E0EE4-F933-73C3-6C06-1417EA79F1F5}"/>
            </a:ext>
          </a:extLst>
        </xdr:cNvPr>
        <xdr:cNvSpPr/>
      </xdr:nvSpPr>
      <xdr:spPr>
        <a:xfrm>
          <a:off x="3000375" y="15668625"/>
          <a:ext cx="904875" cy="10001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5</xdr:col>
      <xdr:colOff>0</xdr:colOff>
      <xdr:row>57</xdr:row>
      <xdr:rowOff>0</xdr:rowOff>
    </xdr:from>
    <xdr:to>
      <xdr:col>6</xdr:col>
      <xdr:colOff>0</xdr:colOff>
      <xdr:row>62</xdr:row>
      <xdr:rowOff>0</xdr:rowOff>
    </xdr:to>
    <xdr:sp macro="" textlink="">
      <xdr:nvSpPr>
        <xdr:cNvPr id="674" name="OpenSolver35">
          <a:extLst>
            <a:ext uri="{FF2B5EF4-FFF2-40B4-BE49-F238E27FC236}">
              <a16:creationId xmlns:a16="http://schemas.microsoft.com/office/drawing/2014/main" id="{1832F953-C497-BF96-D0E6-9CC7E85F37D9}"/>
            </a:ext>
          </a:extLst>
        </xdr:cNvPr>
        <xdr:cNvSpPr/>
      </xdr:nvSpPr>
      <xdr:spPr>
        <a:xfrm>
          <a:off x="4819650" y="15668625"/>
          <a:ext cx="914400" cy="10001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GB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4</xdr:col>
      <xdr:colOff>0</xdr:colOff>
      <xdr:row>59</xdr:row>
      <xdr:rowOff>100013</xdr:rowOff>
    </xdr:from>
    <xdr:to>
      <xdr:col>5</xdr:col>
      <xdr:colOff>0</xdr:colOff>
      <xdr:row>59</xdr:row>
      <xdr:rowOff>100013</xdr:rowOff>
    </xdr:to>
    <xdr:cxnSp macro="">
      <xdr:nvCxnSpPr>
        <xdr:cNvPr id="675" name="OpenSolver36">
          <a:extLst>
            <a:ext uri="{FF2B5EF4-FFF2-40B4-BE49-F238E27FC236}">
              <a16:creationId xmlns:a16="http://schemas.microsoft.com/office/drawing/2014/main" id="{8B12B5E0-A0CC-5A36-D926-1E5011F04A75}"/>
            </a:ext>
          </a:extLst>
        </xdr:cNvPr>
        <xdr:cNvCxnSpPr>
          <a:stCxn id="673" idx="3"/>
          <a:endCxn id="674" idx="1"/>
        </xdr:cNvCxnSpPr>
      </xdr:nvCxnSpPr>
      <xdr:spPr>
        <a:xfrm>
          <a:off x="3905250" y="16168688"/>
          <a:ext cx="9144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266700</xdr:colOff>
      <xdr:row>58</xdr:row>
      <xdr:rowOff>173038</xdr:rowOff>
    </xdr:from>
    <xdr:to>
      <xdr:col>4</xdr:col>
      <xdr:colOff>647700</xdr:colOff>
      <xdr:row>60</xdr:row>
      <xdr:rowOff>26988</xdr:rowOff>
    </xdr:to>
    <xdr:sp macro="" textlink="">
      <xdr:nvSpPr>
        <xdr:cNvPr id="676" name="OpenSolver37">
          <a:extLst>
            <a:ext uri="{FF2B5EF4-FFF2-40B4-BE49-F238E27FC236}">
              <a16:creationId xmlns:a16="http://schemas.microsoft.com/office/drawing/2014/main" id="{5406F763-A7FD-6ABF-F6D8-01350A2D0215}"/>
            </a:ext>
          </a:extLst>
        </xdr:cNvPr>
        <xdr:cNvSpPr/>
      </xdr:nvSpPr>
      <xdr:spPr>
        <a:xfrm>
          <a:off x="4171950" y="16041688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41</xdr:row>
      <xdr:rowOff>0</xdr:rowOff>
    </xdr:to>
    <xdr:sp macro="" textlink="">
      <xdr:nvSpPr>
        <xdr:cNvPr id="677" name="OpenSolver38">
          <a:extLst>
            <a:ext uri="{FF2B5EF4-FFF2-40B4-BE49-F238E27FC236}">
              <a16:creationId xmlns:a16="http://schemas.microsoft.com/office/drawing/2014/main" id="{456F2F04-4884-6682-C80C-5D1BC7853C82}"/>
            </a:ext>
          </a:extLst>
        </xdr:cNvPr>
        <xdr:cNvSpPr/>
      </xdr:nvSpPr>
      <xdr:spPr>
        <a:xfrm>
          <a:off x="3905250" y="8467725"/>
          <a:ext cx="914400" cy="10001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" textlink="">
      <xdr:nvSpPr>
        <xdr:cNvPr id="678" name="OpenSolver39">
          <a:extLst>
            <a:ext uri="{FF2B5EF4-FFF2-40B4-BE49-F238E27FC236}">
              <a16:creationId xmlns:a16="http://schemas.microsoft.com/office/drawing/2014/main" id="{9957B038-6884-8A71-1EE9-FF27A05D70EC}"/>
            </a:ext>
          </a:extLst>
        </xdr:cNvPr>
        <xdr:cNvSpPr/>
      </xdr:nvSpPr>
      <xdr:spPr>
        <a:xfrm>
          <a:off x="3905250" y="9667875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GB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4</xdr:col>
      <xdr:colOff>457200</xdr:colOff>
      <xdr:row>41</xdr:row>
      <xdr:rowOff>0</xdr:rowOff>
    </xdr:from>
    <xdr:to>
      <xdr:col>4</xdr:col>
      <xdr:colOff>457200</xdr:colOff>
      <xdr:row>42</xdr:row>
      <xdr:rowOff>0</xdr:rowOff>
    </xdr:to>
    <xdr:cxnSp macro="">
      <xdr:nvCxnSpPr>
        <xdr:cNvPr id="679" name="OpenSolver40">
          <a:extLst>
            <a:ext uri="{FF2B5EF4-FFF2-40B4-BE49-F238E27FC236}">
              <a16:creationId xmlns:a16="http://schemas.microsoft.com/office/drawing/2014/main" id="{3FF32A55-85B7-40D0-119C-16E07D85AEA4}"/>
            </a:ext>
          </a:extLst>
        </xdr:cNvPr>
        <xdr:cNvCxnSpPr>
          <a:stCxn id="677" idx="2"/>
          <a:endCxn id="678" idx="0"/>
        </xdr:cNvCxnSpPr>
      </xdr:nvCxnSpPr>
      <xdr:spPr>
        <a:xfrm>
          <a:off x="4362450" y="94678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266700</xdr:colOff>
      <xdr:row>40</xdr:row>
      <xdr:rowOff>173038</xdr:rowOff>
    </xdr:from>
    <xdr:to>
      <xdr:col>4</xdr:col>
      <xdr:colOff>647700</xdr:colOff>
      <xdr:row>42</xdr:row>
      <xdr:rowOff>26988</xdr:rowOff>
    </xdr:to>
    <xdr:sp macro="" textlink="">
      <xdr:nvSpPr>
        <xdr:cNvPr id="680" name="OpenSolver41">
          <a:extLst>
            <a:ext uri="{FF2B5EF4-FFF2-40B4-BE49-F238E27FC236}">
              <a16:creationId xmlns:a16="http://schemas.microsoft.com/office/drawing/2014/main" id="{7EFBB4CD-771C-FCFA-07CB-9D5567E4F938}"/>
            </a:ext>
          </a:extLst>
        </xdr:cNvPr>
        <xdr:cNvSpPr/>
      </xdr:nvSpPr>
      <xdr:spPr>
        <a:xfrm>
          <a:off x="4171950" y="9440863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681" name="OpenSolver42">
          <a:extLst>
            <a:ext uri="{FF2B5EF4-FFF2-40B4-BE49-F238E27FC236}">
              <a16:creationId xmlns:a16="http://schemas.microsoft.com/office/drawing/2014/main" id="{DAC32B92-7CAE-B821-AE31-3FAA618CA4D5}"/>
            </a:ext>
          </a:extLst>
        </xdr:cNvPr>
        <xdr:cNvSpPr/>
      </xdr:nvSpPr>
      <xdr:spPr>
        <a:xfrm>
          <a:off x="6657975" y="6000750"/>
          <a:ext cx="885825" cy="1000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682" name="OpenSolver43">
          <a:extLst>
            <a:ext uri="{FF2B5EF4-FFF2-40B4-BE49-F238E27FC236}">
              <a16:creationId xmlns:a16="http://schemas.microsoft.com/office/drawing/2014/main" id="{227CCD13-ED7D-8BC4-50B8-FE85434B4388}"/>
            </a:ext>
          </a:extLst>
        </xdr:cNvPr>
        <xdr:cNvSpPr/>
      </xdr:nvSpPr>
      <xdr:spPr>
        <a:xfrm>
          <a:off x="8486775" y="6000750"/>
          <a:ext cx="838200" cy="1000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GB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26</xdr:row>
      <xdr:rowOff>100013</xdr:rowOff>
    </xdr:from>
    <xdr:to>
      <xdr:col>9</xdr:col>
      <xdr:colOff>0</xdr:colOff>
      <xdr:row>26</xdr:row>
      <xdr:rowOff>100013</xdr:rowOff>
    </xdr:to>
    <xdr:cxnSp macro="">
      <xdr:nvCxnSpPr>
        <xdr:cNvPr id="683" name="OpenSolver44">
          <a:extLst>
            <a:ext uri="{FF2B5EF4-FFF2-40B4-BE49-F238E27FC236}">
              <a16:creationId xmlns:a16="http://schemas.microsoft.com/office/drawing/2014/main" id="{A7BC2F41-9D0D-8C1B-5418-0E7CD70DFFF6}"/>
            </a:ext>
          </a:extLst>
        </xdr:cNvPr>
        <xdr:cNvCxnSpPr>
          <a:stCxn id="681" idx="3"/>
          <a:endCxn id="682" idx="1"/>
        </xdr:cNvCxnSpPr>
      </xdr:nvCxnSpPr>
      <xdr:spPr>
        <a:xfrm>
          <a:off x="7543800" y="6500813"/>
          <a:ext cx="94297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280988</xdr:colOff>
      <xdr:row>25</xdr:row>
      <xdr:rowOff>173038</xdr:rowOff>
    </xdr:from>
    <xdr:to>
      <xdr:col>8</xdr:col>
      <xdr:colOff>661988</xdr:colOff>
      <xdr:row>27</xdr:row>
      <xdr:rowOff>26988</xdr:rowOff>
    </xdr:to>
    <xdr:sp macro="" textlink="">
      <xdr:nvSpPr>
        <xdr:cNvPr id="684" name="OpenSolver45">
          <a:extLst>
            <a:ext uri="{FF2B5EF4-FFF2-40B4-BE49-F238E27FC236}">
              <a16:creationId xmlns:a16="http://schemas.microsoft.com/office/drawing/2014/main" id="{52721DCB-C828-D41B-EFD3-16B2E907ABF7}"/>
            </a:ext>
          </a:extLst>
        </xdr:cNvPr>
        <xdr:cNvSpPr/>
      </xdr:nvSpPr>
      <xdr:spPr>
        <a:xfrm>
          <a:off x="7824788" y="6373813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685" name="OpenSolver46">
          <a:extLst>
            <a:ext uri="{FF2B5EF4-FFF2-40B4-BE49-F238E27FC236}">
              <a16:creationId xmlns:a16="http://schemas.microsoft.com/office/drawing/2014/main" id="{DC0A191C-35CE-63DB-04B4-01ECFFE72764}"/>
            </a:ext>
          </a:extLst>
        </xdr:cNvPr>
        <xdr:cNvSpPr/>
      </xdr:nvSpPr>
      <xdr:spPr>
        <a:xfrm>
          <a:off x="6657975" y="18268950"/>
          <a:ext cx="885825" cy="10001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686" name="OpenSolver47">
          <a:extLst>
            <a:ext uri="{FF2B5EF4-FFF2-40B4-BE49-F238E27FC236}">
              <a16:creationId xmlns:a16="http://schemas.microsoft.com/office/drawing/2014/main" id="{1D909888-62AA-80AB-3528-0A26DB79B45C}"/>
            </a:ext>
          </a:extLst>
        </xdr:cNvPr>
        <xdr:cNvSpPr/>
      </xdr:nvSpPr>
      <xdr:spPr>
        <a:xfrm>
          <a:off x="8486775" y="18268950"/>
          <a:ext cx="838200" cy="10001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GB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68</xdr:row>
      <xdr:rowOff>100013</xdr:rowOff>
    </xdr:from>
    <xdr:to>
      <xdr:col>9</xdr:col>
      <xdr:colOff>0</xdr:colOff>
      <xdr:row>68</xdr:row>
      <xdr:rowOff>100013</xdr:rowOff>
    </xdr:to>
    <xdr:cxnSp macro="">
      <xdr:nvCxnSpPr>
        <xdr:cNvPr id="687" name="OpenSolver48">
          <a:extLst>
            <a:ext uri="{FF2B5EF4-FFF2-40B4-BE49-F238E27FC236}">
              <a16:creationId xmlns:a16="http://schemas.microsoft.com/office/drawing/2014/main" id="{67D0D49F-4E97-B067-B322-955232D06BA3}"/>
            </a:ext>
          </a:extLst>
        </xdr:cNvPr>
        <xdr:cNvCxnSpPr>
          <a:stCxn id="685" idx="3"/>
          <a:endCxn id="686" idx="1"/>
        </xdr:cNvCxnSpPr>
      </xdr:nvCxnSpPr>
      <xdr:spPr>
        <a:xfrm>
          <a:off x="7543800" y="18769013"/>
          <a:ext cx="94297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280988</xdr:colOff>
      <xdr:row>67</xdr:row>
      <xdr:rowOff>173038</xdr:rowOff>
    </xdr:from>
    <xdr:to>
      <xdr:col>8</xdr:col>
      <xdr:colOff>661988</xdr:colOff>
      <xdr:row>69</xdr:row>
      <xdr:rowOff>26988</xdr:rowOff>
    </xdr:to>
    <xdr:sp macro="" textlink="">
      <xdr:nvSpPr>
        <xdr:cNvPr id="688" name="OpenSolver49">
          <a:extLst>
            <a:ext uri="{FF2B5EF4-FFF2-40B4-BE49-F238E27FC236}">
              <a16:creationId xmlns:a16="http://schemas.microsoft.com/office/drawing/2014/main" id="{1AF84EA3-2D4B-49BB-C756-7EB9901B216E}"/>
            </a:ext>
          </a:extLst>
        </xdr:cNvPr>
        <xdr:cNvSpPr/>
      </xdr:nvSpPr>
      <xdr:spPr>
        <a:xfrm>
          <a:off x="7824788" y="18642013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0</xdr:colOff>
      <xdr:row>144</xdr:row>
      <xdr:rowOff>0</xdr:rowOff>
    </xdr:from>
    <xdr:to>
      <xdr:col>11</xdr:col>
      <xdr:colOff>0</xdr:colOff>
      <xdr:row>145</xdr:row>
      <xdr:rowOff>0</xdr:rowOff>
    </xdr:to>
    <xdr:sp macro="" textlink="">
      <xdr:nvSpPr>
        <xdr:cNvPr id="689" name="OpenSolver50">
          <a:extLst>
            <a:ext uri="{FF2B5EF4-FFF2-40B4-BE49-F238E27FC236}">
              <a16:creationId xmlns:a16="http://schemas.microsoft.com/office/drawing/2014/main" id="{469ACC23-2933-4961-E87F-69656D6D780A}"/>
            </a:ext>
          </a:extLst>
        </xdr:cNvPr>
        <xdr:cNvSpPr/>
      </xdr:nvSpPr>
      <xdr:spPr>
        <a:xfrm>
          <a:off x="9324975" y="38671500"/>
          <a:ext cx="8382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12</xdr:col>
      <xdr:colOff>0</xdr:colOff>
      <xdr:row>144</xdr:row>
      <xdr:rowOff>0</xdr:rowOff>
    </xdr:from>
    <xdr:to>
      <xdr:col>13</xdr:col>
      <xdr:colOff>0</xdr:colOff>
      <xdr:row>145</xdr:row>
      <xdr:rowOff>0</xdr:rowOff>
    </xdr:to>
    <xdr:sp macro="" textlink="">
      <xdr:nvSpPr>
        <xdr:cNvPr id="690" name="OpenSolver51">
          <a:extLst>
            <a:ext uri="{FF2B5EF4-FFF2-40B4-BE49-F238E27FC236}">
              <a16:creationId xmlns:a16="http://schemas.microsoft.com/office/drawing/2014/main" id="{1CB17A05-96DF-7074-BC65-FEB75B0E92DE}"/>
            </a:ext>
          </a:extLst>
        </xdr:cNvPr>
        <xdr:cNvSpPr/>
      </xdr:nvSpPr>
      <xdr:spPr>
        <a:xfrm>
          <a:off x="11001375" y="38671500"/>
          <a:ext cx="8382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GB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144</xdr:row>
      <xdr:rowOff>100013</xdr:rowOff>
    </xdr:from>
    <xdr:to>
      <xdr:col>12</xdr:col>
      <xdr:colOff>0</xdr:colOff>
      <xdr:row>144</xdr:row>
      <xdr:rowOff>100013</xdr:rowOff>
    </xdr:to>
    <xdr:cxnSp macro="">
      <xdr:nvCxnSpPr>
        <xdr:cNvPr id="691" name="OpenSolver52">
          <a:extLst>
            <a:ext uri="{FF2B5EF4-FFF2-40B4-BE49-F238E27FC236}">
              <a16:creationId xmlns:a16="http://schemas.microsoft.com/office/drawing/2014/main" id="{5B329E4D-89AE-299A-5539-F77F7A9F8911}"/>
            </a:ext>
          </a:extLst>
        </xdr:cNvPr>
        <xdr:cNvCxnSpPr>
          <a:stCxn id="689" idx="3"/>
          <a:endCxn id="690" idx="1"/>
        </xdr:cNvCxnSpPr>
      </xdr:nvCxnSpPr>
      <xdr:spPr>
        <a:xfrm>
          <a:off x="10163175" y="38771513"/>
          <a:ext cx="8382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228600</xdr:colOff>
      <xdr:row>143</xdr:row>
      <xdr:rowOff>173038</xdr:rowOff>
    </xdr:from>
    <xdr:to>
      <xdr:col>11</xdr:col>
      <xdr:colOff>609600</xdr:colOff>
      <xdr:row>145</xdr:row>
      <xdr:rowOff>26988</xdr:rowOff>
    </xdr:to>
    <xdr:sp macro="" textlink="">
      <xdr:nvSpPr>
        <xdr:cNvPr id="692" name="OpenSolver53">
          <a:extLst>
            <a:ext uri="{FF2B5EF4-FFF2-40B4-BE49-F238E27FC236}">
              <a16:creationId xmlns:a16="http://schemas.microsoft.com/office/drawing/2014/main" id="{B5DC4155-415B-32C1-AAE9-17209014ED0A}"/>
            </a:ext>
          </a:extLst>
        </xdr:cNvPr>
        <xdr:cNvSpPr/>
      </xdr:nvSpPr>
      <xdr:spPr>
        <a:xfrm>
          <a:off x="10391775" y="38644513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0</xdr:colOff>
      <xdr:row>144</xdr:row>
      <xdr:rowOff>0</xdr:rowOff>
    </xdr:from>
    <xdr:to>
      <xdr:col>9</xdr:col>
      <xdr:colOff>0</xdr:colOff>
      <xdr:row>145</xdr:row>
      <xdr:rowOff>0</xdr:rowOff>
    </xdr:to>
    <xdr:sp macro="" textlink="">
      <xdr:nvSpPr>
        <xdr:cNvPr id="693" name="OpenSolver54">
          <a:extLst>
            <a:ext uri="{FF2B5EF4-FFF2-40B4-BE49-F238E27FC236}">
              <a16:creationId xmlns:a16="http://schemas.microsoft.com/office/drawing/2014/main" id="{24DD2682-7A8F-67E1-3F8A-81FF9BA93625}"/>
            </a:ext>
          </a:extLst>
        </xdr:cNvPr>
        <xdr:cNvSpPr/>
      </xdr:nvSpPr>
      <xdr:spPr>
        <a:xfrm>
          <a:off x="7543800" y="38671500"/>
          <a:ext cx="9429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12700</xdr:colOff>
      <xdr:row>144</xdr:row>
      <xdr:rowOff>12700</xdr:rowOff>
    </xdr:from>
    <xdr:to>
      <xdr:col>11</xdr:col>
      <xdr:colOff>0</xdr:colOff>
      <xdr:row>145</xdr:row>
      <xdr:rowOff>0</xdr:rowOff>
    </xdr:to>
    <xdr:sp macro="" textlink="">
      <xdr:nvSpPr>
        <xdr:cNvPr id="694" name="OpenSolver55">
          <a:extLst>
            <a:ext uri="{FF2B5EF4-FFF2-40B4-BE49-F238E27FC236}">
              <a16:creationId xmlns:a16="http://schemas.microsoft.com/office/drawing/2014/main" id="{7924F029-741D-378A-457E-CB5838C2D516}"/>
            </a:ext>
          </a:extLst>
        </xdr:cNvPr>
        <xdr:cNvSpPr/>
      </xdr:nvSpPr>
      <xdr:spPr>
        <a:xfrm>
          <a:off x="9337675" y="38684200"/>
          <a:ext cx="825500" cy="1873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GB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144</xdr:row>
      <xdr:rowOff>100013</xdr:rowOff>
    </xdr:from>
    <xdr:to>
      <xdr:col>10</xdr:col>
      <xdr:colOff>12700</xdr:colOff>
      <xdr:row>144</xdr:row>
      <xdr:rowOff>106363</xdr:rowOff>
    </xdr:to>
    <xdr:cxnSp macro="">
      <xdr:nvCxnSpPr>
        <xdr:cNvPr id="695" name="OpenSolver56">
          <a:extLst>
            <a:ext uri="{FF2B5EF4-FFF2-40B4-BE49-F238E27FC236}">
              <a16:creationId xmlns:a16="http://schemas.microsoft.com/office/drawing/2014/main" id="{4BBDDE7B-57A0-BD41-4C27-59CD0E92A468}"/>
            </a:ext>
          </a:extLst>
        </xdr:cNvPr>
        <xdr:cNvCxnSpPr>
          <a:stCxn id="693" idx="3"/>
          <a:endCxn id="694" idx="1"/>
        </xdr:cNvCxnSpPr>
      </xdr:nvCxnSpPr>
      <xdr:spPr>
        <a:xfrm>
          <a:off x="8486775" y="38771513"/>
          <a:ext cx="850900" cy="63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234950</xdr:colOff>
      <xdr:row>143</xdr:row>
      <xdr:rowOff>176213</xdr:rowOff>
    </xdr:from>
    <xdr:to>
      <xdr:col>9</xdr:col>
      <xdr:colOff>615950</xdr:colOff>
      <xdr:row>145</xdr:row>
      <xdr:rowOff>30163</xdr:rowOff>
    </xdr:to>
    <xdr:sp macro="" textlink="">
      <xdr:nvSpPr>
        <xdr:cNvPr id="696" name="OpenSolver57">
          <a:extLst>
            <a:ext uri="{FF2B5EF4-FFF2-40B4-BE49-F238E27FC236}">
              <a16:creationId xmlns:a16="http://schemas.microsoft.com/office/drawing/2014/main" id="{4D7D3FEF-EEB7-B246-239A-F58E8C09F6BF}"/>
            </a:ext>
          </a:extLst>
        </xdr:cNvPr>
        <xdr:cNvSpPr/>
      </xdr:nvSpPr>
      <xdr:spPr>
        <a:xfrm>
          <a:off x="8721725" y="38647688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0</xdr:colOff>
      <xdr:row>90</xdr:row>
      <xdr:rowOff>0</xdr:rowOff>
    </xdr:from>
    <xdr:to>
      <xdr:col>12</xdr:col>
      <xdr:colOff>0</xdr:colOff>
      <xdr:row>95</xdr:row>
      <xdr:rowOff>0</xdr:rowOff>
    </xdr:to>
    <xdr:sp macro="" textlink="">
      <xdr:nvSpPr>
        <xdr:cNvPr id="697" name="OpenSolver58">
          <a:extLst>
            <a:ext uri="{FF2B5EF4-FFF2-40B4-BE49-F238E27FC236}">
              <a16:creationId xmlns:a16="http://schemas.microsoft.com/office/drawing/2014/main" id="{754AABAA-7296-67BB-6179-2A27C32AFB45}"/>
            </a:ext>
          </a:extLst>
        </xdr:cNvPr>
        <xdr:cNvSpPr/>
      </xdr:nvSpPr>
      <xdr:spPr>
        <a:xfrm>
          <a:off x="10163175" y="25269825"/>
          <a:ext cx="838200" cy="10001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13</xdr:col>
      <xdr:colOff>0</xdr:colOff>
      <xdr:row>90</xdr:row>
      <xdr:rowOff>0</xdr:rowOff>
    </xdr:from>
    <xdr:to>
      <xdr:col>14</xdr:col>
      <xdr:colOff>0</xdr:colOff>
      <xdr:row>95</xdr:row>
      <xdr:rowOff>0</xdr:rowOff>
    </xdr:to>
    <xdr:sp macro="" textlink="">
      <xdr:nvSpPr>
        <xdr:cNvPr id="698" name="OpenSolver59">
          <a:extLst>
            <a:ext uri="{FF2B5EF4-FFF2-40B4-BE49-F238E27FC236}">
              <a16:creationId xmlns:a16="http://schemas.microsoft.com/office/drawing/2014/main" id="{0A87A1BF-FC93-DB9A-505C-C2FDFB8AA429}"/>
            </a:ext>
          </a:extLst>
        </xdr:cNvPr>
        <xdr:cNvSpPr/>
      </xdr:nvSpPr>
      <xdr:spPr>
        <a:xfrm>
          <a:off x="11839575" y="25269825"/>
          <a:ext cx="838200" cy="10001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GB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12</xdr:col>
      <xdr:colOff>0</xdr:colOff>
      <xdr:row>92</xdr:row>
      <xdr:rowOff>100013</xdr:rowOff>
    </xdr:from>
    <xdr:to>
      <xdr:col>13</xdr:col>
      <xdr:colOff>0</xdr:colOff>
      <xdr:row>92</xdr:row>
      <xdr:rowOff>100013</xdr:rowOff>
    </xdr:to>
    <xdr:cxnSp macro="">
      <xdr:nvCxnSpPr>
        <xdr:cNvPr id="699" name="OpenSolver60">
          <a:extLst>
            <a:ext uri="{FF2B5EF4-FFF2-40B4-BE49-F238E27FC236}">
              <a16:creationId xmlns:a16="http://schemas.microsoft.com/office/drawing/2014/main" id="{9A66BF4E-B85B-C563-877C-9021D908EF9F}"/>
            </a:ext>
          </a:extLst>
        </xdr:cNvPr>
        <xdr:cNvCxnSpPr>
          <a:stCxn id="697" idx="3"/>
          <a:endCxn id="698" idx="1"/>
        </xdr:cNvCxnSpPr>
      </xdr:nvCxnSpPr>
      <xdr:spPr>
        <a:xfrm>
          <a:off x="11001375" y="25769888"/>
          <a:ext cx="8382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228600</xdr:colOff>
      <xdr:row>91</xdr:row>
      <xdr:rowOff>173038</xdr:rowOff>
    </xdr:from>
    <xdr:to>
      <xdr:col>12</xdr:col>
      <xdr:colOff>609600</xdr:colOff>
      <xdr:row>93</xdr:row>
      <xdr:rowOff>26988</xdr:rowOff>
    </xdr:to>
    <xdr:sp macro="" textlink="">
      <xdr:nvSpPr>
        <xdr:cNvPr id="700" name="OpenSolver61">
          <a:extLst>
            <a:ext uri="{FF2B5EF4-FFF2-40B4-BE49-F238E27FC236}">
              <a16:creationId xmlns:a16="http://schemas.microsoft.com/office/drawing/2014/main" id="{039C1E57-57D5-0059-7A6D-74F544BA1806}"/>
            </a:ext>
          </a:extLst>
        </xdr:cNvPr>
        <xdr:cNvSpPr/>
      </xdr:nvSpPr>
      <xdr:spPr>
        <a:xfrm>
          <a:off x="11229975" y="25642888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0</xdr:colOff>
      <xdr:row>45</xdr:row>
      <xdr:rowOff>0</xdr:rowOff>
    </xdr:from>
    <xdr:to>
      <xdr:col>14</xdr:col>
      <xdr:colOff>0</xdr:colOff>
      <xdr:row>50</xdr:row>
      <xdr:rowOff>0</xdr:rowOff>
    </xdr:to>
    <xdr:sp macro="" textlink="">
      <xdr:nvSpPr>
        <xdr:cNvPr id="701" name="OpenSolver62">
          <a:extLst>
            <a:ext uri="{FF2B5EF4-FFF2-40B4-BE49-F238E27FC236}">
              <a16:creationId xmlns:a16="http://schemas.microsoft.com/office/drawing/2014/main" id="{FA0F768D-63B9-88B7-123C-766FF5692685}"/>
            </a:ext>
          </a:extLst>
        </xdr:cNvPr>
        <xdr:cNvSpPr/>
      </xdr:nvSpPr>
      <xdr:spPr>
        <a:xfrm>
          <a:off x="11839575" y="11468100"/>
          <a:ext cx="838200" cy="10001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15</xdr:col>
      <xdr:colOff>0</xdr:colOff>
      <xdr:row>45</xdr:row>
      <xdr:rowOff>0</xdr:rowOff>
    </xdr:from>
    <xdr:to>
      <xdr:col>16</xdr:col>
      <xdr:colOff>0</xdr:colOff>
      <xdr:row>50</xdr:row>
      <xdr:rowOff>0</xdr:rowOff>
    </xdr:to>
    <xdr:sp macro="" textlink="">
      <xdr:nvSpPr>
        <xdr:cNvPr id="702" name="OpenSolver63">
          <a:extLst>
            <a:ext uri="{FF2B5EF4-FFF2-40B4-BE49-F238E27FC236}">
              <a16:creationId xmlns:a16="http://schemas.microsoft.com/office/drawing/2014/main" id="{CBD1E244-2E5D-DEA6-5314-00F9D0F499E0}"/>
            </a:ext>
          </a:extLst>
        </xdr:cNvPr>
        <xdr:cNvSpPr/>
      </xdr:nvSpPr>
      <xdr:spPr>
        <a:xfrm>
          <a:off x="13639800" y="11468100"/>
          <a:ext cx="838200" cy="1000125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GB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14</xdr:col>
      <xdr:colOff>0</xdr:colOff>
      <xdr:row>47</xdr:row>
      <xdr:rowOff>100013</xdr:rowOff>
    </xdr:from>
    <xdr:to>
      <xdr:col>15</xdr:col>
      <xdr:colOff>0</xdr:colOff>
      <xdr:row>47</xdr:row>
      <xdr:rowOff>100013</xdr:rowOff>
    </xdr:to>
    <xdr:cxnSp macro="">
      <xdr:nvCxnSpPr>
        <xdr:cNvPr id="703" name="OpenSolver64">
          <a:extLst>
            <a:ext uri="{FF2B5EF4-FFF2-40B4-BE49-F238E27FC236}">
              <a16:creationId xmlns:a16="http://schemas.microsoft.com/office/drawing/2014/main" id="{EB9920DC-F8FE-2A3D-5A05-9EB6EC890691}"/>
            </a:ext>
          </a:extLst>
        </xdr:cNvPr>
        <xdr:cNvCxnSpPr>
          <a:stCxn id="701" idx="3"/>
          <a:endCxn id="702" idx="1"/>
        </xdr:cNvCxnSpPr>
      </xdr:nvCxnSpPr>
      <xdr:spPr>
        <a:xfrm>
          <a:off x="12677775" y="11968163"/>
          <a:ext cx="962025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290513</xdr:colOff>
      <xdr:row>46</xdr:row>
      <xdr:rowOff>173038</xdr:rowOff>
    </xdr:from>
    <xdr:to>
      <xdr:col>14</xdr:col>
      <xdr:colOff>671513</xdr:colOff>
      <xdr:row>48</xdr:row>
      <xdr:rowOff>26988</xdr:rowOff>
    </xdr:to>
    <xdr:sp macro="" textlink="">
      <xdr:nvSpPr>
        <xdr:cNvPr id="704" name="OpenSolver65">
          <a:extLst>
            <a:ext uri="{FF2B5EF4-FFF2-40B4-BE49-F238E27FC236}">
              <a16:creationId xmlns:a16="http://schemas.microsoft.com/office/drawing/2014/main" id="{9C3F4001-5712-DA1D-50E4-DF4ADE7C0C57}"/>
            </a:ext>
          </a:extLst>
        </xdr:cNvPr>
        <xdr:cNvSpPr/>
      </xdr:nvSpPr>
      <xdr:spPr>
        <a:xfrm>
          <a:off x="12968288" y="11841163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0</xdr:colOff>
      <xdr:row>57</xdr:row>
      <xdr:rowOff>0</xdr:rowOff>
    </xdr:from>
    <xdr:to>
      <xdr:col>14</xdr:col>
      <xdr:colOff>0</xdr:colOff>
      <xdr:row>62</xdr:row>
      <xdr:rowOff>0</xdr:rowOff>
    </xdr:to>
    <xdr:sp macro="" textlink="">
      <xdr:nvSpPr>
        <xdr:cNvPr id="705" name="OpenSolver66">
          <a:extLst>
            <a:ext uri="{FF2B5EF4-FFF2-40B4-BE49-F238E27FC236}">
              <a16:creationId xmlns:a16="http://schemas.microsoft.com/office/drawing/2014/main" id="{B44DD6A0-AC1C-329E-B148-5C7C38F973FA}"/>
            </a:ext>
          </a:extLst>
        </xdr:cNvPr>
        <xdr:cNvSpPr/>
      </xdr:nvSpPr>
      <xdr:spPr>
        <a:xfrm>
          <a:off x="11839575" y="15668625"/>
          <a:ext cx="838200" cy="10001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GB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15</xdr:col>
      <xdr:colOff>0</xdr:colOff>
      <xdr:row>57</xdr:row>
      <xdr:rowOff>0</xdr:rowOff>
    </xdr:from>
    <xdr:to>
      <xdr:col>16</xdr:col>
      <xdr:colOff>0</xdr:colOff>
      <xdr:row>62</xdr:row>
      <xdr:rowOff>0</xdr:rowOff>
    </xdr:to>
    <xdr:sp macro="" textlink="">
      <xdr:nvSpPr>
        <xdr:cNvPr id="706" name="OpenSolver67">
          <a:extLst>
            <a:ext uri="{FF2B5EF4-FFF2-40B4-BE49-F238E27FC236}">
              <a16:creationId xmlns:a16="http://schemas.microsoft.com/office/drawing/2014/main" id="{8B1CA8E8-559C-E1B0-67D0-796C9B23A1D6}"/>
            </a:ext>
          </a:extLst>
        </xdr:cNvPr>
        <xdr:cNvSpPr/>
      </xdr:nvSpPr>
      <xdr:spPr>
        <a:xfrm>
          <a:off x="13639800" y="15668625"/>
          <a:ext cx="838200" cy="10001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GB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14</xdr:col>
      <xdr:colOff>0</xdr:colOff>
      <xdr:row>59</xdr:row>
      <xdr:rowOff>100013</xdr:rowOff>
    </xdr:from>
    <xdr:to>
      <xdr:col>15</xdr:col>
      <xdr:colOff>0</xdr:colOff>
      <xdr:row>59</xdr:row>
      <xdr:rowOff>100013</xdr:rowOff>
    </xdr:to>
    <xdr:cxnSp macro="">
      <xdr:nvCxnSpPr>
        <xdr:cNvPr id="707" name="OpenSolver68">
          <a:extLst>
            <a:ext uri="{FF2B5EF4-FFF2-40B4-BE49-F238E27FC236}">
              <a16:creationId xmlns:a16="http://schemas.microsoft.com/office/drawing/2014/main" id="{C47389AF-FE39-62CC-E8BE-278FA0879DF7}"/>
            </a:ext>
          </a:extLst>
        </xdr:cNvPr>
        <xdr:cNvCxnSpPr>
          <a:stCxn id="705" idx="3"/>
          <a:endCxn id="706" idx="1"/>
        </xdr:cNvCxnSpPr>
      </xdr:nvCxnSpPr>
      <xdr:spPr>
        <a:xfrm>
          <a:off x="12677775" y="16168688"/>
          <a:ext cx="962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290513</xdr:colOff>
      <xdr:row>58</xdr:row>
      <xdr:rowOff>173038</xdr:rowOff>
    </xdr:from>
    <xdr:to>
      <xdr:col>14</xdr:col>
      <xdr:colOff>671513</xdr:colOff>
      <xdr:row>60</xdr:row>
      <xdr:rowOff>26988</xdr:rowOff>
    </xdr:to>
    <xdr:sp macro="" textlink="">
      <xdr:nvSpPr>
        <xdr:cNvPr id="708" name="OpenSolver69">
          <a:extLst>
            <a:ext uri="{FF2B5EF4-FFF2-40B4-BE49-F238E27FC236}">
              <a16:creationId xmlns:a16="http://schemas.microsoft.com/office/drawing/2014/main" id="{86AF7A79-F88A-BF92-C008-572A772DF900}"/>
            </a:ext>
          </a:extLst>
        </xdr:cNvPr>
        <xdr:cNvSpPr/>
      </xdr:nvSpPr>
      <xdr:spPr>
        <a:xfrm>
          <a:off x="12968288" y="16041688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8740E-4AB1-2343-8FA0-BF21C74C6322}">
  <sheetPr codeName="Sheet1"/>
  <dimension ref="A1:T210"/>
  <sheetViews>
    <sheetView tabSelected="1" topLeftCell="A127" zoomScale="80" zoomScaleNormal="80" workbookViewId="0">
      <selection activeCell="C87" sqref="C87"/>
    </sheetView>
  </sheetViews>
  <sheetFormatPr defaultColWidth="11" defaultRowHeight="15.75" x14ac:dyDescent="0.25"/>
  <cols>
    <col min="1" max="1" width="15.125" customWidth="1"/>
    <col min="2" max="2" width="11.625" customWidth="1"/>
    <col min="3" max="3" width="12.625" customWidth="1"/>
    <col min="4" max="4" width="11.875" customWidth="1"/>
    <col min="5" max="6" width="12" customWidth="1"/>
    <col min="7" max="7" width="12.125" customWidth="1"/>
    <col min="8" max="8" width="11.625" customWidth="1"/>
    <col min="9" max="9" width="12.375" customWidth="1"/>
    <col min="15" max="15" width="12.625" customWidth="1"/>
    <col min="17" max="17" width="13.25" customWidth="1"/>
    <col min="18" max="18" width="11.625" customWidth="1"/>
  </cols>
  <sheetData>
    <row r="1" spans="1:17" x14ac:dyDescent="0.25">
      <c r="A1" t="s">
        <v>0</v>
      </c>
    </row>
    <row r="3" spans="1:17" x14ac:dyDescent="0.25">
      <c r="E3" s="61" t="s">
        <v>6</v>
      </c>
      <c r="F3" s="62"/>
      <c r="G3" s="61" t="s">
        <v>120</v>
      </c>
      <c r="H3" s="60"/>
      <c r="I3" s="60"/>
      <c r="J3" s="60"/>
      <c r="K3" s="60"/>
      <c r="L3" s="60"/>
      <c r="M3" s="60"/>
      <c r="N3" s="60"/>
      <c r="O3" s="60"/>
      <c r="P3" s="62"/>
      <c r="Q3" s="17" t="s">
        <v>121</v>
      </c>
    </row>
    <row r="4" spans="1:17" x14ac:dyDescent="0.25">
      <c r="A4" s="12" t="s">
        <v>1</v>
      </c>
      <c r="B4" s="60">
        <v>0</v>
      </c>
      <c r="C4" s="60"/>
      <c r="D4" s="60"/>
      <c r="E4" s="60"/>
      <c r="F4" s="17">
        <v>1</v>
      </c>
      <c r="G4" s="17">
        <v>2</v>
      </c>
      <c r="H4" s="17">
        <v>3</v>
      </c>
      <c r="I4" s="17">
        <v>4</v>
      </c>
      <c r="J4" s="17">
        <v>5</v>
      </c>
      <c r="K4" s="17">
        <v>6</v>
      </c>
      <c r="L4" s="17">
        <v>7</v>
      </c>
      <c r="M4" s="17">
        <v>8</v>
      </c>
      <c r="N4" s="17">
        <v>9</v>
      </c>
      <c r="O4" s="17">
        <v>10</v>
      </c>
      <c r="P4" s="17">
        <v>11</v>
      </c>
      <c r="Q4" s="13">
        <v>12</v>
      </c>
    </row>
    <row r="5" spans="1:17" ht="31.5" x14ac:dyDescent="0.25">
      <c r="A5" s="6"/>
      <c r="B5" s="4" t="s">
        <v>3</v>
      </c>
      <c r="C5" s="22" t="s">
        <v>16</v>
      </c>
      <c r="D5" s="22" t="s">
        <v>4</v>
      </c>
      <c r="E5" s="22" t="s">
        <v>6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7"/>
    </row>
    <row r="6" spans="1:17" x14ac:dyDescent="0.25">
      <c r="A6" s="23" t="s">
        <v>7</v>
      </c>
      <c r="B6" s="6"/>
      <c r="E6">
        <v>10</v>
      </c>
      <c r="F6" s="18">
        <v>10</v>
      </c>
      <c r="G6" s="18">
        <v>10</v>
      </c>
      <c r="H6" s="18">
        <v>10</v>
      </c>
      <c r="I6" s="18">
        <v>10</v>
      </c>
      <c r="J6" s="18">
        <v>10</v>
      </c>
      <c r="K6" s="18">
        <v>10</v>
      </c>
      <c r="L6" s="18">
        <v>10</v>
      </c>
      <c r="M6" s="18">
        <v>10</v>
      </c>
      <c r="N6" s="18">
        <v>10</v>
      </c>
      <c r="O6" s="18">
        <v>10</v>
      </c>
      <c r="P6" s="18">
        <v>10</v>
      </c>
      <c r="Q6" s="7">
        <v>0</v>
      </c>
    </row>
    <row r="7" spans="1:17" x14ac:dyDescent="0.25">
      <c r="A7" s="23" t="s">
        <v>8</v>
      </c>
      <c r="B7" s="45">
        <f>F25</f>
        <v>53.734999999999999</v>
      </c>
      <c r="C7" s="37">
        <f>SUM(D7:E7)</f>
        <v>53.734999999999999</v>
      </c>
      <c r="D7" s="2">
        <v>30.934999999999999</v>
      </c>
      <c r="E7" s="2">
        <v>22.8</v>
      </c>
      <c r="F7" s="18">
        <v>9.5</v>
      </c>
      <c r="G7" s="18">
        <v>9.5</v>
      </c>
      <c r="H7" s="18">
        <v>9.8000000000000007</v>
      </c>
      <c r="I7" s="18">
        <v>9.8000000000000007</v>
      </c>
      <c r="J7" s="18">
        <v>9.8000000000000007</v>
      </c>
      <c r="K7" s="18">
        <v>9.8000000000000007</v>
      </c>
      <c r="L7" s="18">
        <v>9.8000000000000007</v>
      </c>
      <c r="M7" s="18">
        <v>9.8000000000000007</v>
      </c>
      <c r="N7" s="18">
        <v>9.8000000000000007</v>
      </c>
      <c r="O7" s="18">
        <v>9.8000000000000007</v>
      </c>
      <c r="P7" s="18">
        <v>9.8000000000000007</v>
      </c>
      <c r="Q7" s="7">
        <v>9.8000000000000007</v>
      </c>
    </row>
    <row r="8" spans="1:17" x14ac:dyDescent="0.25">
      <c r="A8" s="23" t="s">
        <v>9</v>
      </c>
      <c r="B8" s="45">
        <f t="shared" ref="B8:B11" si="0">F26</f>
        <v>52.341850000000008</v>
      </c>
      <c r="C8" s="37">
        <f t="shared" ref="C8:C11" si="1">SUM(D8:E8)</f>
        <v>52.341850000000001</v>
      </c>
      <c r="D8" s="2">
        <v>40.757423000000003</v>
      </c>
      <c r="E8" s="2">
        <v>11.584427</v>
      </c>
      <c r="F8" s="18">
        <f>PRODUCT(E7,B16)</f>
        <v>21.66</v>
      </c>
      <c r="G8" s="18">
        <f t="shared" ref="G8:Q11" si="2">PRODUCT(F7,C16)</f>
        <v>9.0250000000000004</v>
      </c>
      <c r="H8" s="18">
        <f t="shared" si="2"/>
        <v>9.31</v>
      </c>
      <c r="I8" s="18">
        <f t="shared" si="2"/>
        <v>9.604000000000001</v>
      </c>
      <c r="J8" s="18">
        <f t="shared" si="2"/>
        <v>9.604000000000001</v>
      </c>
      <c r="K8" s="18">
        <f t="shared" si="2"/>
        <v>9.604000000000001</v>
      </c>
      <c r="L8" s="18">
        <f t="shared" si="2"/>
        <v>9.604000000000001</v>
      </c>
      <c r="M8" s="18">
        <f t="shared" si="2"/>
        <v>9.604000000000001</v>
      </c>
      <c r="N8" s="18">
        <f t="shared" si="2"/>
        <v>9.604000000000001</v>
      </c>
      <c r="O8" s="18">
        <f t="shared" si="2"/>
        <v>9.604000000000001</v>
      </c>
      <c r="P8" s="18">
        <f t="shared" si="2"/>
        <v>9.604000000000001</v>
      </c>
      <c r="Q8" s="7">
        <f t="shared" si="2"/>
        <v>9.604000000000001</v>
      </c>
    </row>
    <row r="9" spans="1:17" x14ac:dyDescent="0.25">
      <c r="A9" s="23" t="s">
        <v>10</v>
      </c>
      <c r="B9" s="45">
        <f t="shared" si="0"/>
        <v>57.43580699999999</v>
      </c>
      <c r="C9" s="37">
        <f t="shared" si="1"/>
        <v>57.435806999999997</v>
      </c>
      <c r="D9" s="2">
        <v>57.435806999999997</v>
      </c>
      <c r="E9" s="2">
        <v>0</v>
      </c>
      <c r="F9" s="18">
        <f t="shared" ref="F9:F11" si="3">PRODUCT(E8,B17)</f>
        <v>11.005205649999999</v>
      </c>
      <c r="G9" s="18">
        <f t="shared" si="2"/>
        <v>20.576999999999998</v>
      </c>
      <c r="H9" s="18">
        <f t="shared" si="2"/>
        <v>8.8445</v>
      </c>
      <c r="I9" s="18">
        <f t="shared" si="2"/>
        <v>9.123800000000001</v>
      </c>
      <c r="J9" s="18">
        <f t="shared" si="2"/>
        <v>9.4119200000000003</v>
      </c>
      <c r="K9" s="18">
        <f t="shared" si="2"/>
        <v>9.4119200000000003</v>
      </c>
      <c r="L9" s="18">
        <f t="shared" si="2"/>
        <v>9.4119200000000003</v>
      </c>
      <c r="M9" s="18">
        <f t="shared" si="2"/>
        <v>9.4119200000000003</v>
      </c>
      <c r="N9" s="18">
        <f t="shared" si="2"/>
        <v>9.4119200000000003</v>
      </c>
      <c r="O9" s="18">
        <f t="shared" si="2"/>
        <v>9.4119200000000003</v>
      </c>
      <c r="P9" s="18">
        <f t="shared" si="2"/>
        <v>9.4119200000000003</v>
      </c>
      <c r="Q9" s="7">
        <f t="shared" si="2"/>
        <v>9.4119200000000003</v>
      </c>
    </row>
    <row r="10" spans="1:17" x14ac:dyDescent="0.25">
      <c r="A10" s="23" t="s">
        <v>11</v>
      </c>
      <c r="B10" s="45">
        <f t="shared" si="0"/>
        <v>56.964285932125016</v>
      </c>
      <c r="C10" s="37">
        <f t="shared" si="1"/>
        <v>56.964286000000001</v>
      </c>
      <c r="D10" s="2">
        <v>56.964286000000001</v>
      </c>
      <c r="E10" s="2">
        <v>0</v>
      </c>
      <c r="F10" s="18">
        <f t="shared" si="3"/>
        <v>0</v>
      </c>
      <c r="G10" s="18">
        <f t="shared" si="2"/>
        <v>10.454945367499999</v>
      </c>
      <c r="H10" s="18">
        <f t="shared" si="2"/>
        <v>20.165459999999999</v>
      </c>
      <c r="I10" s="18">
        <f t="shared" si="2"/>
        <v>8.6676099999999998</v>
      </c>
      <c r="J10" s="18">
        <f t="shared" si="2"/>
        <v>8.9413240000000016</v>
      </c>
      <c r="K10" s="18">
        <f t="shared" si="2"/>
        <v>9.2236816000000008</v>
      </c>
      <c r="L10" s="18">
        <f t="shared" si="2"/>
        <v>9.2236816000000008</v>
      </c>
      <c r="M10" s="18">
        <f t="shared" si="2"/>
        <v>9.2236816000000008</v>
      </c>
      <c r="N10" s="18">
        <f t="shared" si="2"/>
        <v>9.2236816000000008</v>
      </c>
      <c r="O10" s="18">
        <f t="shared" si="2"/>
        <v>9.2236816000000008</v>
      </c>
      <c r="P10" s="18">
        <f t="shared" si="2"/>
        <v>9.2236816000000008</v>
      </c>
      <c r="Q10" s="7">
        <f t="shared" si="2"/>
        <v>9.2236816000000008</v>
      </c>
    </row>
    <row r="11" spans="1:17" x14ac:dyDescent="0.25">
      <c r="A11" s="24" t="s">
        <v>12</v>
      </c>
      <c r="B11" s="46">
        <f t="shared" si="0"/>
        <v>50.853435831082507</v>
      </c>
      <c r="C11" s="38">
        <f t="shared" si="1"/>
        <v>50.853436000000002</v>
      </c>
      <c r="D11" s="10">
        <v>50.853436000000002</v>
      </c>
      <c r="E11" s="10">
        <v>0</v>
      </c>
      <c r="F11" s="19">
        <f t="shared" si="3"/>
        <v>0</v>
      </c>
      <c r="G11" s="19">
        <f t="shared" si="2"/>
        <v>0</v>
      </c>
      <c r="H11" s="19">
        <f t="shared" si="2"/>
        <v>10.245846460149998</v>
      </c>
      <c r="I11" s="19">
        <f t="shared" si="2"/>
        <v>19.762150800000001</v>
      </c>
      <c r="J11" s="19">
        <f t="shared" si="2"/>
        <v>8.4942577999999997</v>
      </c>
      <c r="K11" s="19">
        <f t="shared" si="2"/>
        <v>8.7624975200000019</v>
      </c>
      <c r="L11" s="19">
        <f t="shared" si="2"/>
        <v>9.0392079680000013</v>
      </c>
      <c r="M11" s="19">
        <f t="shared" si="2"/>
        <v>9.0392079680000013</v>
      </c>
      <c r="N11" s="19">
        <f t="shared" si="2"/>
        <v>9.0392079680000013</v>
      </c>
      <c r="O11" s="19">
        <f t="shared" si="2"/>
        <v>9.0392079680000013</v>
      </c>
      <c r="P11" s="19">
        <f t="shared" si="2"/>
        <v>9.0392079680000013</v>
      </c>
      <c r="Q11" s="11">
        <f t="shared" si="2"/>
        <v>9.0392079680000013</v>
      </c>
    </row>
    <row r="13" spans="1:17" x14ac:dyDescent="0.25">
      <c r="A13" s="14"/>
      <c r="B13" s="5" t="s">
        <v>122</v>
      </c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1"/>
    </row>
    <row r="14" spans="1:17" x14ac:dyDescent="0.25">
      <c r="A14" s="6"/>
      <c r="N14" s="7"/>
    </row>
    <row r="15" spans="1:17" x14ac:dyDescent="0.25">
      <c r="A15" s="23" t="s">
        <v>1</v>
      </c>
      <c r="B15" s="3">
        <v>0</v>
      </c>
      <c r="C15" s="3">
        <v>1</v>
      </c>
      <c r="D15" s="3">
        <v>2</v>
      </c>
      <c r="E15" s="3">
        <v>3</v>
      </c>
      <c r="F15" s="3">
        <v>4</v>
      </c>
      <c r="G15" s="3">
        <v>5</v>
      </c>
      <c r="H15" s="3">
        <v>6</v>
      </c>
      <c r="I15" s="3">
        <v>7</v>
      </c>
      <c r="J15" s="3">
        <v>8</v>
      </c>
      <c r="K15" s="3">
        <v>9</v>
      </c>
      <c r="L15" s="3">
        <v>10</v>
      </c>
      <c r="M15" s="3">
        <v>11</v>
      </c>
      <c r="N15" s="25">
        <v>12</v>
      </c>
    </row>
    <row r="16" spans="1:17" x14ac:dyDescent="0.25">
      <c r="A16" s="23" t="s">
        <v>8</v>
      </c>
      <c r="B16">
        <v>0.95</v>
      </c>
      <c r="C16">
        <v>0.95</v>
      </c>
      <c r="D16">
        <v>0.98</v>
      </c>
      <c r="E16">
        <v>0.98</v>
      </c>
      <c r="F16">
        <v>0.98</v>
      </c>
      <c r="G16">
        <v>0.98</v>
      </c>
      <c r="H16">
        <v>0.98</v>
      </c>
      <c r="I16">
        <v>0.98</v>
      </c>
      <c r="J16">
        <v>0.98</v>
      </c>
      <c r="K16">
        <v>0.98</v>
      </c>
      <c r="L16">
        <v>0.98</v>
      </c>
      <c r="M16">
        <v>0.98</v>
      </c>
      <c r="N16" s="7">
        <v>0.98</v>
      </c>
    </row>
    <row r="17" spans="1:19" x14ac:dyDescent="0.25">
      <c r="A17" s="23" t="s">
        <v>9</v>
      </c>
      <c r="B17">
        <v>0.95</v>
      </c>
      <c r="C17">
        <v>0.95</v>
      </c>
      <c r="D17">
        <v>0.98</v>
      </c>
      <c r="E17">
        <v>0.98</v>
      </c>
      <c r="F17">
        <v>0.98</v>
      </c>
      <c r="G17">
        <v>0.98</v>
      </c>
      <c r="H17">
        <v>0.98</v>
      </c>
      <c r="I17">
        <v>0.98</v>
      </c>
      <c r="J17">
        <v>0.98</v>
      </c>
      <c r="K17">
        <v>0.98</v>
      </c>
      <c r="L17">
        <v>0.98</v>
      </c>
      <c r="M17">
        <v>0.98</v>
      </c>
      <c r="N17" s="7">
        <v>0.98</v>
      </c>
    </row>
    <row r="18" spans="1:19" x14ac:dyDescent="0.25">
      <c r="A18" s="23" t="s">
        <v>10</v>
      </c>
      <c r="B18">
        <v>0.95</v>
      </c>
      <c r="C18">
        <v>0.95</v>
      </c>
      <c r="D18">
        <v>0.98</v>
      </c>
      <c r="E18">
        <v>0.98</v>
      </c>
      <c r="F18">
        <v>0.98</v>
      </c>
      <c r="G18">
        <v>0.98</v>
      </c>
      <c r="H18">
        <v>0.98</v>
      </c>
      <c r="I18">
        <v>0.98</v>
      </c>
      <c r="J18">
        <v>0.98</v>
      </c>
      <c r="K18">
        <v>0.98</v>
      </c>
      <c r="L18">
        <v>0.98</v>
      </c>
      <c r="M18">
        <v>0.98</v>
      </c>
      <c r="N18" s="7">
        <v>0.98</v>
      </c>
    </row>
    <row r="19" spans="1:19" x14ac:dyDescent="0.25">
      <c r="A19" s="23" t="s">
        <v>11</v>
      </c>
      <c r="B19">
        <v>0.95</v>
      </c>
      <c r="C19">
        <v>0.95</v>
      </c>
      <c r="D19">
        <v>0.98</v>
      </c>
      <c r="E19">
        <v>0.98</v>
      </c>
      <c r="F19">
        <v>0.98</v>
      </c>
      <c r="G19">
        <v>0.98</v>
      </c>
      <c r="H19">
        <v>0.98</v>
      </c>
      <c r="I19">
        <v>0.98</v>
      </c>
      <c r="J19">
        <v>0.98</v>
      </c>
      <c r="K19">
        <v>0.98</v>
      </c>
      <c r="L19">
        <v>0.98</v>
      </c>
      <c r="M19">
        <v>0.98</v>
      </c>
      <c r="N19" s="7">
        <v>0.98</v>
      </c>
    </row>
    <row r="20" spans="1:19" x14ac:dyDescent="0.25">
      <c r="A20" s="24" t="s">
        <v>12</v>
      </c>
      <c r="B20" s="9">
        <v>0.95</v>
      </c>
      <c r="C20" s="9">
        <v>0.95</v>
      </c>
      <c r="D20" s="9">
        <v>0.98</v>
      </c>
      <c r="E20" s="9">
        <v>0.98</v>
      </c>
      <c r="F20" s="9">
        <v>0.98</v>
      </c>
      <c r="G20" s="9">
        <v>0.98</v>
      </c>
      <c r="H20" s="9">
        <v>0.98</v>
      </c>
      <c r="I20" s="9">
        <v>0.98</v>
      </c>
      <c r="J20" s="9">
        <v>0.98</v>
      </c>
      <c r="K20" s="9">
        <v>0.98</v>
      </c>
      <c r="L20" s="9">
        <v>0.98</v>
      </c>
      <c r="M20" s="9">
        <v>0.98</v>
      </c>
      <c r="N20" s="11">
        <v>0.98</v>
      </c>
    </row>
    <row r="22" spans="1:19" x14ac:dyDescent="0.25">
      <c r="A22" s="14"/>
      <c r="B22" s="5" t="s">
        <v>17</v>
      </c>
      <c r="C22" s="20"/>
      <c r="D22" s="20"/>
      <c r="E22" s="20"/>
      <c r="F22" s="20"/>
      <c r="G22" s="20"/>
      <c r="H22" s="20"/>
      <c r="I22" s="20"/>
      <c r="J22" s="21"/>
      <c r="L22" s="14"/>
      <c r="M22" s="5" t="s">
        <v>123</v>
      </c>
      <c r="N22" s="20"/>
      <c r="O22" s="20"/>
      <c r="P22" s="20"/>
      <c r="Q22" s="20"/>
      <c r="R22" s="20"/>
      <c r="S22" s="21"/>
    </row>
    <row r="23" spans="1:19" x14ac:dyDescent="0.25">
      <c r="A23" s="6"/>
      <c r="F23" s="59"/>
      <c r="G23" s="59"/>
      <c r="J23" s="7"/>
      <c r="L23" s="6"/>
      <c r="M23" s="65"/>
      <c r="N23" s="65"/>
      <c r="S23" s="7"/>
    </row>
    <row r="24" spans="1:19" ht="94.5" x14ac:dyDescent="0.25">
      <c r="A24" s="6"/>
      <c r="B24" s="30" t="s">
        <v>20</v>
      </c>
      <c r="C24" s="30" t="s">
        <v>19</v>
      </c>
      <c r="D24" s="30" t="s">
        <v>21</v>
      </c>
      <c r="E24" s="30" t="s">
        <v>18</v>
      </c>
      <c r="F24" s="30" t="s">
        <v>23</v>
      </c>
      <c r="G24" s="30" t="s">
        <v>22</v>
      </c>
      <c r="H24" s="30" t="s">
        <v>24</v>
      </c>
      <c r="I24" s="30" t="s">
        <v>14</v>
      </c>
      <c r="J24" s="31" t="s">
        <v>25</v>
      </c>
      <c r="L24" s="6"/>
      <c r="M24" s="30" t="s">
        <v>27</v>
      </c>
      <c r="N24" s="30" t="s">
        <v>28</v>
      </c>
      <c r="O24" s="30" t="s">
        <v>30</v>
      </c>
      <c r="P24" s="30" t="s">
        <v>29</v>
      </c>
      <c r="Q24" s="30" t="s">
        <v>31</v>
      </c>
      <c r="R24" s="30" t="s">
        <v>32</v>
      </c>
      <c r="S24" s="31" t="s">
        <v>118</v>
      </c>
    </row>
    <row r="25" spans="1:19" x14ac:dyDescent="0.25">
      <c r="A25" s="23" t="s">
        <v>8</v>
      </c>
      <c r="B25" s="26">
        <f>SUM(G7:P7)</f>
        <v>97.699999999999989</v>
      </c>
      <c r="C25">
        <v>1.1000000000000001</v>
      </c>
      <c r="D25" s="26">
        <f>PRODUCT(B25:C25)</f>
        <v>107.47</v>
      </c>
      <c r="E25">
        <v>0.5</v>
      </c>
      <c r="F25" s="26">
        <f>PRODUCT(D25:E25)</f>
        <v>53.734999999999999</v>
      </c>
      <c r="G25">
        <v>0.5</v>
      </c>
      <c r="H25" s="26">
        <f>PRODUCT(D25,G25)</f>
        <v>53.734999999999999</v>
      </c>
      <c r="I25" t="s">
        <v>15</v>
      </c>
      <c r="J25" s="28">
        <f>C7</f>
        <v>53.734999999999999</v>
      </c>
      <c r="L25" s="23" t="s">
        <v>8</v>
      </c>
      <c r="M25">
        <f>F25</f>
        <v>53.734999999999999</v>
      </c>
      <c r="N25">
        <f>D7</f>
        <v>30.934999999999999</v>
      </c>
      <c r="O25">
        <v>30</v>
      </c>
      <c r="P25">
        <v>40</v>
      </c>
      <c r="Q25" s="26">
        <f>PRODUCT(M25,O25)</f>
        <v>1612.05</v>
      </c>
      <c r="R25" s="26">
        <f>PRODUCT(N25,P25)</f>
        <v>1237.3999999999999</v>
      </c>
      <c r="S25" s="32">
        <f>SUM(Q25:R25)</f>
        <v>2849.45</v>
      </c>
    </row>
    <row r="26" spans="1:19" x14ac:dyDescent="0.25">
      <c r="A26" s="23" t="s">
        <v>9</v>
      </c>
      <c r="B26" s="26">
        <f t="shared" ref="B26:B29" si="4">SUM(G8:P8)</f>
        <v>95.167000000000002</v>
      </c>
      <c r="C26">
        <v>1.1000000000000001</v>
      </c>
      <c r="D26" s="26">
        <f t="shared" ref="D26:D29" si="5">PRODUCT(B26:C26)</f>
        <v>104.68370000000002</v>
      </c>
      <c r="E26">
        <v>0.5</v>
      </c>
      <c r="F26" s="26">
        <f t="shared" ref="F26:F29" si="6">PRODUCT(D26:E26)</f>
        <v>52.341850000000008</v>
      </c>
      <c r="G26">
        <v>0.5</v>
      </c>
      <c r="H26" s="26">
        <f t="shared" ref="H26:H29" si="7">PRODUCT(D26,G26)</f>
        <v>52.341850000000008</v>
      </c>
      <c r="I26" t="s">
        <v>15</v>
      </c>
      <c r="J26" s="28">
        <f t="shared" ref="J26:J29" si="8">C8</f>
        <v>52.341850000000001</v>
      </c>
      <c r="L26" s="23" t="s">
        <v>9</v>
      </c>
      <c r="M26">
        <f t="shared" ref="M26:M29" si="9">F26</f>
        <v>52.341850000000008</v>
      </c>
      <c r="N26">
        <f t="shared" ref="N26:N29" si="10">D8</f>
        <v>40.757423000000003</v>
      </c>
      <c r="O26">
        <v>30</v>
      </c>
      <c r="P26">
        <v>40</v>
      </c>
      <c r="Q26" s="26">
        <f t="shared" ref="Q26:Q29" si="11">PRODUCT(M26,O26)</f>
        <v>1570.2555000000002</v>
      </c>
      <c r="R26" s="26">
        <f t="shared" ref="R26:R29" si="12">PRODUCT(N26,P26)</f>
        <v>1630.2969200000002</v>
      </c>
      <c r="S26" s="32">
        <f t="shared" ref="S26:S29" si="13">SUM(Q26:R26)</f>
        <v>3200.5524200000004</v>
      </c>
    </row>
    <row r="27" spans="1:19" x14ac:dyDescent="0.25">
      <c r="A27" s="23" t="s">
        <v>10</v>
      </c>
      <c r="B27" s="26">
        <f t="shared" si="4"/>
        <v>104.42873999999998</v>
      </c>
      <c r="C27">
        <v>1.1000000000000001</v>
      </c>
      <c r="D27" s="26">
        <f t="shared" si="5"/>
        <v>114.87161399999998</v>
      </c>
      <c r="E27">
        <v>0.5</v>
      </c>
      <c r="F27" s="26">
        <f t="shared" si="6"/>
        <v>57.43580699999999</v>
      </c>
      <c r="G27">
        <v>0.5</v>
      </c>
      <c r="H27" s="26">
        <f t="shared" si="7"/>
        <v>57.43580699999999</v>
      </c>
      <c r="I27" t="s">
        <v>15</v>
      </c>
      <c r="J27" s="28">
        <f t="shared" si="8"/>
        <v>57.435806999999997</v>
      </c>
      <c r="L27" s="23" t="s">
        <v>26</v>
      </c>
      <c r="M27">
        <f t="shared" si="9"/>
        <v>57.43580699999999</v>
      </c>
      <c r="N27">
        <f t="shared" si="10"/>
        <v>57.435806999999997</v>
      </c>
      <c r="O27">
        <v>30</v>
      </c>
      <c r="P27">
        <v>40</v>
      </c>
      <c r="Q27" s="26">
        <f t="shared" si="11"/>
        <v>1723.0742099999998</v>
      </c>
      <c r="R27" s="26">
        <f t="shared" si="12"/>
        <v>2297.43228</v>
      </c>
      <c r="S27" s="32">
        <f t="shared" si="13"/>
        <v>4020.5064899999998</v>
      </c>
    </row>
    <row r="28" spans="1:19" x14ac:dyDescent="0.25">
      <c r="A28" s="23" t="s">
        <v>11</v>
      </c>
      <c r="B28" s="26">
        <f t="shared" si="4"/>
        <v>103.57142896750003</v>
      </c>
      <c r="C28">
        <v>1.1000000000000001</v>
      </c>
      <c r="D28" s="26">
        <f t="shared" si="5"/>
        <v>113.92857186425003</v>
      </c>
      <c r="E28">
        <v>0.5</v>
      </c>
      <c r="F28" s="26">
        <f t="shared" si="6"/>
        <v>56.964285932125016</v>
      </c>
      <c r="G28">
        <v>0.5</v>
      </c>
      <c r="H28" s="26">
        <f t="shared" si="7"/>
        <v>56.964285932125016</v>
      </c>
      <c r="I28" t="s">
        <v>15</v>
      </c>
      <c r="J28" s="28">
        <f t="shared" si="8"/>
        <v>56.964286000000001</v>
      </c>
      <c r="L28" s="23" t="s">
        <v>11</v>
      </c>
      <c r="M28">
        <f t="shared" si="9"/>
        <v>56.964285932125016</v>
      </c>
      <c r="N28">
        <f t="shared" si="10"/>
        <v>56.964286000000001</v>
      </c>
      <c r="O28">
        <v>30</v>
      </c>
      <c r="P28">
        <v>40</v>
      </c>
      <c r="Q28" s="26">
        <f t="shared" si="11"/>
        <v>1708.9285779637505</v>
      </c>
      <c r="R28" s="26">
        <f t="shared" si="12"/>
        <v>2278.5714400000002</v>
      </c>
      <c r="S28" s="32">
        <f t="shared" si="13"/>
        <v>3987.5000179637509</v>
      </c>
    </row>
    <row r="29" spans="1:19" x14ac:dyDescent="0.25">
      <c r="A29" s="24" t="s">
        <v>12</v>
      </c>
      <c r="B29" s="27">
        <f t="shared" si="4"/>
        <v>92.46079242015</v>
      </c>
      <c r="C29" s="9">
        <v>1.1000000000000001</v>
      </c>
      <c r="D29" s="27">
        <f t="shared" si="5"/>
        <v>101.70687166216501</v>
      </c>
      <c r="E29" s="9">
        <v>0.5</v>
      </c>
      <c r="F29" s="27">
        <f t="shared" si="6"/>
        <v>50.853435831082507</v>
      </c>
      <c r="G29" s="9">
        <v>0.5</v>
      </c>
      <c r="H29" s="27">
        <f t="shared" si="7"/>
        <v>50.853435831082507</v>
      </c>
      <c r="I29" s="9" t="s">
        <v>15</v>
      </c>
      <c r="J29" s="29">
        <f t="shared" si="8"/>
        <v>50.853436000000002</v>
      </c>
      <c r="L29" s="23" t="s">
        <v>12</v>
      </c>
      <c r="M29">
        <f t="shared" si="9"/>
        <v>50.853435831082507</v>
      </c>
      <c r="N29">
        <f t="shared" si="10"/>
        <v>50.853436000000002</v>
      </c>
      <c r="O29">
        <v>30</v>
      </c>
      <c r="P29">
        <v>40</v>
      </c>
      <c r="Q29" s="26">
        <f t="shared" si="11"/>
        <v>1525.6030749324752</v>
      </c>
      <c r="R29" s="26">
        <f t="shared" si="12"/>
        <v>2034.13744</v>
      </c>
      <c r="S29" s="32">
        <f t="shared" si="13"/>
        <v>3559.740514932475</v>
      </c>
    </row>
    <row r="30" spans="1:19" x14ac:dyDescent="0.25">
      <c r="L30" s="6"/>
      <c r="P30" s="3" t="s">
        <v>33</v>
      </c>
      <c r="Q30" s="33">
        <f>SUM(Q25:Q29)</f>
        <v>8139.9113628962259</v>
      </c>
      <c r="R30" s="33">
        <f>SUM(R25:R29)</f>
        <v>9477.8380800000014</v>
      </c>
      <c r="S30" s="7"/>
    </row>
    <row r="31" spans="1:19" x14ac:dyDescent="0.25">
      <c r="L31" s="8"/>
      <c r="M31" s="9"/>
      <c r="N31" s="35" t="s">
        <v>124</v>
      </c>
      <c r="O31" s="35"/>
      <c r="P31" s="9"/>
      <c r="Q31" s="34">
        <f>SUM(Q30:R30)</f>
        <v>17617.749442896227</v>
      </c>
      <c r="R31" s="9"/>
      <c r="S31" s="11"/>
    </row>
    <row r="32" spans="1:19" ht="21" customHeight="1" x14ac:dyDescent="0.25">
      <c r="A32" s="3" t="s">
        <v>56</v>
      </c>
    </row>
    <row r="33" spans="1:18" x14ac:dyDescent="0.25">
      <c r="A33" s="14"/>
      <c r="B33" s="20"/>
      <c r="C33" s="20"/>
      <c r="D33" s="20"/>
      <c r="E33" s="20"/>
      <c r="F33" s="21"/>
    </row>
    <row r="34" spans="1:18" x14ac:dyDescent="0.25">
      <c r="A34" s="63" t="s">
        <v>125</v>
      </c>
      <c r="B34" s="59"/>
      <c r="C34" s="59"/>
      <c r="D34" s="59"/>
      <c r="E34" s="59"/>
      <c r="F34" s="64"/>
      <c r="H34" s="59" t="s">
        <v>41</v>
      </c>
      <c r="I34" s="59"/>
      <c r="J34" s="59"/>
      <c r="K34" s="59"/>
      <c r="M34" s="4"/>
      <c r="N34" s="5" t="s">
        <v>43</v>
      </c>
      <c r="O34" s="5"/>
      <c r="P34" s="20"/>
      <c r="Q34" s="20"/>
      <c r="R34" s="21"/>
    </row>
    <row r="35" spans="1:18" x14ac:dyDescent="0.25">
      <c r="A35" s="6"/>
      <c r="B35" s="59" t="s">
        <v>35</v>
      </c>
      <c r="C35" s="59"/>
      <c r="D35" s="59"/>
      <c r="E35" s="59"/>
      <c r="F35" s="7"/>
      <c r="H35" s="59" t="s">
        <v>35</v>
      </c>
      <c r="I35" s="59"/>
      <c r="J35" s="59"/>
      <c r="K35" s="59"/>
      <c r="M35" s="6"/>
      <c r="R35" s="7"/>
    </row>
    <row r="36" spans="1:18" x14ac:dyDescent="0.25">
      <c r="A36" s="23" t="s">
        <v>36</v>
      </c>
      <c r="B36" s="3" t="s">
        <v>37</v>
      </c>
      <c r="C36" s="3" t="s">
        <v>38</v>
      </c>
      <c r="D36" s="3" t="s">
        <v>39</v>
      </c>
      <c r="E36" s="3" t="s">
        <v>40</v>
      </c>
      <c r="F36" s="25" t="s">
        <v>33</v>
      </c>
      <c r="H36" s="3" t="s">
        <v>37</v>
      </c>
      <c r="I36" s="3" t="s">
        <v>38</v>
      </c>
      <c r="J36" s="3" t="s">
        <v>39</v>
      </c>
      <c r="K36" s="3" t="s">
        <v>40</v>
      </c>
      <c r="M36" s="23" t="s">
        <v>36</v>
      </c>
      <c r="N36" s="3" t="s">
        <v>42</v>
      </c>
      <c r="O36" s="3" t="s">
        <v>38</v>
      </c>
      <c r="P36" s="3" t="s">
        <v>39</v>
      </c>
      <c r="Q36" s="3" t="s">
        <v>40</v>
      </c>
      <c r="R36" s="25" t="s">
        <v>33</v>
      </c>
    </row>
    <row r="37" spans="1:18" x14ac:dyDescent="0.25">
      <c r="A37" s="23" t="s">
        <v>8</v>
      </c>
      <c r="B37" s="2">
        <v>20</v>
      </c>
      <c r="C37" s="2">
        <v>0</v>
      </c>
      <c r="D37" s="2">
        <v>0</v>
      </c>
      <c r="E37" s="2">
        <v>0</v>
      </c>
      <c r="F37" s="36">
        <f>SUM(B37:E37)</f>
        <v>20</v>
      </c>
      <c r="H37" s="43">
        <v>1.1000000000000001</v>
      </c>
      <c r="I37" s="43">
        <v>0.9</v>
      </c>
      <c r="J37" s="43">
        <v>0.8</v>
      </c>
      <c r="K37" s="43">
        <v>0.65</v>
      </c>
      <c r="M37" s="23" t="s">
        <v>8</v>
      </c>
      <c r="N37" s="37">
        <f>PRODUCT(B37,H37)</f>
        <v>22</v>
      </c>
      <c r="O37" s="37">
        <f t="shared" ref="O37" si="14">PRODUCT(C37,I37)</f>
        <v>0</v>
      </c>
      <c r="P37" s="37">
        <f>PRODUCT(D37,J37)</f>
        <v>0</v>
      </c>
      <c r="Q37" s="37">
        <f>PRODUCT(E37,K37)</f>
        <v>0</v>
      </c>
      <c r="R37" s="32">
        <f>SUM(N37:Q37)</f>
        <v>22</v>
      </c>
    </row>
    <row r="38" spans="1:18" x14ac:dyDescent="0.25">
      <c r="A38" s="23" t="s">
        <v>9</v>
      </c>
      <c r="B38" s="2">
        <v>20</v>
      </c>
      <c r="C38" s="2">
        <v>0</v>
      </c>
      <c r="D38" s="2">
        <v>0</v>
      </c>
      <c r="E38" s="2">
        <v>0</v>
      </c>
      <c r="F38" s="36">
        <f t="shared" ref="F38:F41" si="15">SUM(B38:E38)</f>
        <v>20</v>
      </c>
      <c r="M38" s="23" t="s">
        <v>9</v>
      </c>
      <c r="N38" s="37">
        <f>PRODUCT(B38,H37)</f>
        <v>22</v>
      </c>
      <c r="O38" s="37">
        <f t="shared" ref="O38" si="16">PRODUCT(C38,I37)</f>
        <v>0</v>
      </c>
      <c r="P38" s="37">
        <f>PRODUCT(D38,J37)</f>
        <v>0</v>
      </c>
      <c r="Q38" s="37">
        <f>PRODUCT(E38,K37)</f>
        <v>0</v>
      </c>
      <c r="R38" s="32">
        <f t="shared" ref="R38:R41" si="17">SUM(N38:Q38)</f>
        <v>22</v>
      </c>
    </row>
    <row r="39" spans="1:18" x14ac:dyDescent="0.25">
      <c r="A39" s="23" t="s">
        <v>10</v>
      </c>
      <c r="B39" s="2">
        <v>20</v>
      </c>
      <c r="C39" s="2">
        <v>3.1351795</v>
      </c>
      <c r="D39" s="2">
        <v>0</v>
      </c>
      <c r="E39" s="2">
        <v>0</v>
      </c>
      <c r="F39" s="36">
        <f t="shared" si="15"/>
        <v>23.1351795</v>
      </c>
      <c r="M39" s="23" t="s">
        <v>10</v>
      </c>
      <c r="N39" s="37">
        <f>PRODUCT(B39,H37)</f>
        <v>22</v>
      </c>
      <c r="O39" s="37">
        <f t="shared" ref="O39" si="18">PRODUCT(C39,I37)</f>
        <v>2.82166155</v>
      </c>
      <c r="P39" s="37">
        <f>PRODUCT(D39,J37)</f>
        <v>0</v>
      </c>
      <c r="Q39" s="37">
        <f>PRODUCT(E39,K37)</f>
        <v>0</v>
      </c>
      <c r="R39" s="32">
        <f t="shared" si="17"/>
        <v>24.821661550000002</v>
      </c>
    </row>
    <row r="40" spans="1:18" x14ac:dyDescent="0.25">
      <c r="A40" s="23" t="s">
        <v>11</v>
      </c>
      <c r="B40" s="2">
        <v>20</v>
      </c>
      <c r="C40" s="2">
        <v>0</v>
      </c>
      <c r="D40" s="2">
        <v>0</v>
      </c>
      <c r="E40" s="2">
        <v>0</v>
      </c>
      <c r="F40" s="36">
        <f t="shared" si="15"/>
        <v>20</v>
      </c>
      <c r="M40" s="23" t="s">
        <v>11</v>
      </c>
      <c r="N40" s="37">
        <f>PRODUCT(B40,H37)</f>
        <v>22</v>
      </c>
      <c r="O40" s="37">
        <f t="shared" ref="O40" si="19">PRODUCT(C40,I37)</f>
        <v>0</v>
      </c>
      <c r="P40" s="37">
        <f>PRODUCT(D40,J37)</f>
        <v>0</v>
      </c>
      <c r="Q40" s="37">
        <f>PRODUCT(E40,K37)</f>
        <v>0</v>
      </c>
      <c r="R40" s="32">
        <f t="shared" si="17"/>
        <v>22</v>
      </c>
    </row>
    <row r="41" spans="1:18" x14ac:dyDescent="0.25">
      <c r="A41" s="23" t="s">
        <v>12</v>
      </c>
      <c r="B41" s="2">
        <v>20</v>
      </c>
      <c r="C41" s="2">
        <v>0</v>
      </c>
      <c r="D41" s="2">
        <v>0</v>
      </c>
      <c r="E41" s="2">
        <v>0</v>
      </c>
      <c r="F41" s="36">
        <f t="shared" si="15"/>
        <v>20</v>
      </c>
      <c r="M41" s="24" t="s">
        <v>12</v>
      </c>
      <c r="N41" s="38">
        <f>PRODUCT(B41,H37)</f>
        <v>22</v>
      </c>
      <c r="O41" s="38">
        <f t="shared" ref="O41" si="20">PRODUCT(C41,I37)</f>
        <v>0</v>
      </c>
      <c r="P41" s="38">
        <f>PRODUCT(D41,J37)</f>
        <v>0</v>
      </c>
      <c r="Q41" s="38">
        <f>PRODUCT(E41,K37)</f>
        <v>0</v>
      </c>
      <c r="R41" s="39">
        <f t="shared" si="17"/>
        <v>22</v>
      </c>
    </row>
    <row r="42" spans="1:18" x14ac:dyDescent="0.25">
      <c r="A42" s="6"/>
      <c r="B42" t="s">
        <v>2</v>
      </c>
      <c r="C42" t="s">
        <v>2</v>
      </c>
      <c r="D42" t="s">
        <v>2</v>
      </c>
      <c r="E42" t="s">
        <v>2</v>
      </c>
      <c r="F42" s="7"/>
    </row>
    <row r="43" spans="1:18" x14ac:dyDescent="0.25">
      <c r="A43" s="8"/>
      <c r="B43" s="9">
        <v>20</v>
      </c>
      <c r="C43" s="9">
        <v>30</v>
      </c>
      <c r="D43" s="9">
        <v>20</v>
      </c>
      <c r="E43" s="9">
        <v>10</v>
      </c>
      <c r="F43" s="11"/>
    </row>
    <row r="44" spans="1:18" x14ac:dyDescent="0.25">
      <c r="H44" s="1"/>
      <c r="I44" s="1"/>
    </row>
    <row r="45" spans="1:18" ht="110.25" x14ac:dyDescent="0.25">
      <c r="A45" s="4" t="s">
        <v>44</v>
      </c>
      <c r="B45" s="22" t="s">
        <v>126</v>
      </c>
      <c r="C45" s="22" t="s">
        <v>46</v>
      </c>
      <c r="D45" s="22" t="s">
        <v>127</v>
      </c>
      <c r="E45" s="5"/>
      <c r="F45" s="22" t="s">
        <v>47</v>
      </c>
      <c r="G45" s="22" t="s">
        <v>48</v>
      </c>
      <c r="H45" s="22" t="s">
        <v>128</v>
      </c>
      <c r="I45" s="22" t="s">
        <v>49</v>
      </c>
      <c r="J45" s="22" t="s">
        <v>50</v>
      </c>
      <c r="K45" s="22" t="s">
        <v>129</v>
      </c>
      <c r="L45" s="22" t="s">
        <v>51</v>
      </c>
      <c r="M45" s="22" t="s">
        <v>52</v>
      </c>
      <c r="N45" s="22" t="s">
        <v>130</v>
      </c>
      <c r="O45" s="22" t="s">
        <v>14</v>
      </c>
      <c r="P45" s="41" t="s">
        <v>53</v>
      </c>
    </row>
    <row r="46" spans="1:18" x14ac:dyDescent="0.25">
      <c r="A46" s="23" t="s">
        <v>8</v>
      </c>
      <c r="B46" s="37">
        <f>SUM(G7:P7)</f>
        <v>97.699999999999989</v>
      </c>
      <c r="C46">
        <v>0.6</v>
      </c>
      <c r="D46" s="37">
        <f>PRODUCT(B46:C46)</f>
        <v>58.61999999999999</v>
      </c>
      <c r="E46" t="s">
        <v>2</v>
      </c>
      <c r="F46" s="37">
        <f>SUM(G46:H46)</f>
        <v>58.62</v>
      </c>
      <c r="G46" s="2">
        <v>36.619999999999997</v>
      </c>
      <c r="H46" s="2">
        <v>22</v>
      </c>
      <c r="I46" s="2">
        <v>0</v>
      </c>
      <c r="J46">
        <v>75</v>
      </c>
      <c r="K46" s="37">
        <f>PRODUCT(I46,J46)</f>
        <v>0</v>
      </c>
      <c r="L46">
        <v>90</v>
      </c>
      <c r="M46" s="37">
        <f>PRODUCT(L46,G46)</f>
        <v>3295.7999999999997</v>
      </c>
      <c r="N46" s="37">
        <f>SUM(H46:I46)</f>
        <v>22</v>
      </c>
      <c r="O46" t="s">
        <v>15</v>
      </c>
      <c r="P46" s="36">
        <f>R37</f>
        <v>22</v>
      </c>
    </row>
    <row r="47" spans="1:18" x14ac:dyDescent="0.25">
      <c r="A47" s="23" t="s">
        <v>9</v>
      </c>
      <c r="B47" s="37">
        <f>SUM(G8:P8)</f>
        <v>95.167000000000002</v>
      </c>
      <c r="C47">
        <v>0.6</v>
      </c>
      <c r="D47" s="37">
        <f t="shared" ref="D47:D50" si="21">PRODUCT(B47:C47)</f>
        <v>57.100200000000001</v>
      </c>
      <c r="E47" t="s">
        <v>2</v>
      </c>
      <c r="F47" s="37">
        <f t="shared" ref="F47:F50" si="22">SUM(G47:H47)</f>
        <v>57.100200000000001</v>
      </c>
      <c r="G47" s="2">
        <v>35.100200000000001</v>
      </c>
      <c r="H47" s="2">
        <v>22</v>
      </c>
      <c r="I47" s="2">
        <v>0</v>
      </c>
      <c r="J47">
        <v>75</v>
      </c>
      <c r="K47" s="37">
        <f t="shared" ref="K47:K50" si="23">PRODUCT(I47,J47)</f>
        <v>0</v>
      </c>
      <c r="L47">
        <v>90</v>
      </c>
      <c r="M47" s="37">
        <f t="shared" ref="M47:M50" si="24">PRODUCT(L47,G47)</f>
        <v>3159.018</v>
      </c>
      <c r="N47" s="37">
        <f t="shared" ref="N47:N50" si="25">SUM(H47:I47)</f>
        <v>22</v>
      </c>
      <c r="O47" t="s">
        <v>15</v>
      </c>
      <c r="P47" s="36">
        <f>R38</f>
        <v>22</v>
      </c>
    </row>
    <row r="48" spans="1:18" x14ac:dyDescent="0.25">
      <c r="A48" s="23" t="s">
        <v>10</v>
      </c>
      <c r="B48" s="37">
        <f>SUM(G9:P9)</f>
        <v>104.42873999999998</v>
      </c>
      <c r="C48">
        <v>0.6</v>
      </c>
      <c r="D48" s="37">
        <f t="shared" si="21"/>
        <v>62.657243999999984</v>
      </c>
      <c r="E48" t="s">
        <v>2</v>
      </c>
      <c r="F48" s="37">
        <f t="shared" si="22"/>
        <v>62.657244000000006</v>
      </c>
      <c r="G48" s="2">
        <v>37.835582000000002</v>
      </c>
      <c r="H48" s="2">
        <v>24.821662</v>
      </c>
      <c r="I48" s="2">
        <v>0</v>
      </c>
      <c r="J48">
        <v>75</v>
      </c>
      <c r="K48" s="37">
        <f t="shared" si="23"/>
        <v>0</v>
      </c>
      <c r="L48">
        <v>90</v>
      </c>
      <c r="M48" s="37">
        <f t="shared" si="24"/>
        <v>3405.2023800000002</v>
      </c>
      <c r="N48" s="37">
        <f t="shared" si="25"/>
        <v>24.821662</v>
      </c>
      <c r="O48" t="s">
        <v>15</v>
      </c>
      <c r="P48" s="36">
        <f>R39</f>
        <v>24.821661550000002</v>
      </c>
    </row>
    <row r="49" spans="1:18" x14ac:dyDescent="0.25">
      <c r="A49" s="23" t="s">
        <v>11</v>
      </c>
      <c r="B49" s="37">
        <f>SUM(G10:P10)</f>
        <v>103.57142896750003</v>
      </c>
      <c r="C49">
        <v>0.6</v>
      </c>
      <c r="D49" s="37">
        <f t="shared" si="21"/>
        <v>62.142857380500011</v>
      </c>
      <c r="E49" t="s">
        <v>2</v>
      </c>
      <c r="F49" s="37">
        <f t="shared" si="22"/>
        <v>62.142856999999999</v>
      </c>
      <c r="G49" s="2">
        <v>40.142856999999999</v>
      </c>
      <c r="H49" s="2">
        <v>22</v>
      </c>
      <c r="I49" s="2">
        <v>0</v>
      </c>
      <c r="J49">
        <v>75</v>
      </c>
      <c r="K49" s="37">
        <f t="shared" si="23"/>
        <v>0</v>
      </c>
      <c r="L49">
        <v>90</v>
      </c>
      <c r="M49" s="37">
        <f t="shared" si="24"/>
        <v>3612.8571299999999</v>
      </c>
      <c r="N49" s="37">
        <f t="shared" si="25"/>
        <v>22</v>
      </c>
      <c r="O49" t="s">
        <v>15</v>
      </c>
      <c r="P49" s="36">
        <f>R40</f>
        <v>22</v>
      </c>
    </row>
    <row r="50" spans="1:18" x14ac:dyDescent="0.25">
      <c r="A50" s="23" t="s">
        <v>12</v>
      </c>
      <c r="B50" s="37">
        <f>SUM(G11:P11)</f>
        <v>92.46079242015</v>
      </c>
      <c r="C50">
        <v>0.6</v>
      </c>
      <c r="D50" s="37">
        <f t="shared" si="21"/>
        <v>55.47647545209</v>
      </c>
      <c r="E50" t="s">
        <v>2</v>
      </c>
      <c r="F50" s="37">
        <f t="shared" si="22"/>
        <v>55.476475000000001</v>
      </c>
      <c r="G50" s="2">
        <v>33.476475000000001</v>
      </c>
      <c r="H50" s="2">
        <v>22</v>
      </c>
      <c r="I50" s="2">
        <v>0</v>
      </c>
      <c r="J50">
        <v>75</v>
      </c>
      <c r="K50" s="37">
        <f t="shared" si="23"/>
        <v>0</v>
      </c>
      <c r="L50">
        <v>90</v>
      </c>
      <c r="M50" s="37">
        <f t="shared" si="24"/>
        <v>3012.8827500000002</v>
      </c>
      <c r="N50" s="37">
        <f t="shared" si="25"/>
        <v>22</v>
      </c>
      <c r="O50" t="s">
        <v>15</v>
      </c>
      <c r="P50" s="36">
        <f>R41</f>
        <v>22</v>
      </c>
    </row>
    <row r="51" spans="1:18" ht="63" x14ac:dyDescent="0.25">
      <c r="A51" s="8"/>
      <c r="B51" s="9"/>
      <c r="C51" s="9"/>
      <c r="D51" s="9"/>
      <c r="E51" s="9"/>
      <c r="F51" s="9"/>
      <c r="G51" s="9"/>
      <c r="H51" s="9"/>
      <c r="I51" s="9"/>
      <c r="J51" s="40" t="s">
        <v>55</v>
      </c>
      <c r="K51" s="34">
        <f>SUM(K46:K50)</f>
        <v>0</v>
      </c>
      <c r="L51" s="40" t="s">
        <v>54</v>
      </c>
      <c r="M51" s="34">
        <f>SUM(M46:M50)</f>
        <v>16485.760259999999</v>
      </c>
      <c r="N51" s="9"/>
      <c r="O51" s="9"/>
      <c r="P51" s="11"/>
    </row>
    <row r="55" spans="1:18" x14ac:dyDescent="0.25">
      <c r="A55" s="4" t="s">
        <v>57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1"/>
    </row>
    <row r="56" spans="1:18" x14ac:dyDescent="0.25">
      <c r="A56" s="6"/>
      <c r="R56" s="7"/>
    </row>
    <row r="57" spans="1:18" ht="110.25" x14ac:dyDescent="0.25">
      <c r="A57" s="6"/>
      <c r="B57" s="30" t="s">
        <v>45</v>
      </c>
      <c r="C57" s="30" t="s">
        <v>58</v>
      </c>
      <c r="D57" s="30" t="s">
        <v>59</v>
      </c>
      <c r="E57" s="30" t="s">
        <v>14</v>
      </c>
      <c r="F57" s="30" t="s">
        <v>60</v>
      </c>
      <c r="G57" s="30" t="s">
        <v>61</v>
      </c>
      <c r="H57" s="30" t="s">
        <v>62</v>
      </c>
      <c r="I57" s="30" t="s">
        <v>63</v>
      </c>
      <c r="J57" s="30" t="s">
        <v>64</v>
      </c>
      <c r="K57" s="30" t="s">
        <v>65</v>
      </c>
      <c r="L57" s="30" t="s">
        <v>66</v>
      </c>
      <c r="M57" s="30" t="s">
        <v>67</v>
      </c>
      <c r="N57" s="30" t="s">
        <v>131</v>
      </c>
      <c r="O57" s="30" t="s">
        <v>14</v>
      </c>
      <c r="P57" s="30" t="s">
        <v>62</v>
      </c>
      <c r="Q57" s="30" t="s">
        <v>68</v>
      </c>
      <c r="R57" s="31" t="s">
        <v>69</v>
      </c>
    </row>
    <row r="58" spans="1:18" x14ac:dyDescent="0.25">
      <c r="A58" s="23" t="s">
        <v>8</v>
      </c>
      <c r="B58" s="37">
        <f>SUM(G7:P7)</f>
        <v>97.699999999999989</v>
      </c>
      <c r="C58">
        <v>0.7</v>
      </c>
      <c r="D58" s="37">
        <f>PRODUCT(B58,C58)</f>
        <v>68.389999999999986</v>
      </c>
      <c r="E58" t="s">
        <v>2</v>
      </c>
      <c r="F58" s="37">
        <f>SUM(G58:H58)</f>
        <v>68.39</v>
      </c>
      <c r="G58" s="2">
        <v>0</v>
      </c>
      <c r="H58" s="2">
        <v>68.39</v>
      </c>
      <c r="I58" s="2">
        <v>22.76323</v>
      </c>
      <c r="J58">
        <v>58</v>
      </c>
      <c r="K58" s="37">
        <f>PRODUCT(I58,J58)</f>
        <v>1320.2673400000001</v>
      </c>
      <c r="L58">
        <v>70</v>
      </c>
      <c r="M58" s="37">
        <f>PRODUCT(L58,G58)</f>
        <v>0</v>
      </c>
      <c r="N58" s="37">
        <f>SUM(H58:I58)</f>
        <v>91.153230000000008</v>
      </c>
      <c r="O58" t="s">
        <v>15</v>
      </c>
      <c r="P58" s="37">
        <f>PRODUCT(Q58:R58)</f>
        <v>91.153229999999994</v>
      </c>
      <c r="Q58">
        <v>1.5</v>
      </c>
      <c r="R58" s="15">
        <v>60.768819999999998</v>
      </c>
    </row>
    <row r="59" spans="1:18" x14ac:dyDescent="0.25">
      <c r="A59" s="23" t="s">
        <v>9</v>
      </c>
      <c r="B59" s="37">
        <f>SUM(G8:P8)</f>
        <v>95.167000000000002</v>
      </c>
      <c r="C59">
        <v>0.7</v>
      </c>
      <c r="D59" s="37">
        <f t="shared" ref="D59:D62" si="26">PRODUCT(B59,C59)</f>
        <v>66.616900000000001</v>
      </c>
      <c r="E59" t="s">
        <v>2</v>
      </c>
      <c r="F59" s="37">
        <f t="shared" ref="F59:F62" si="27">SUM(G59:H59)</f>
        <v>66.616900000000001</v>
      </c>
      <c r="G59" s="2">
        <v>0</v>
      </c>
      <c r="H59" s="2">
        <v>66.616900000000001</v>
      </c>
      <c r="I59" s="2">
        <v>27.391497999999999</v>
      </c>
      <c r="J59">
        <v>58</v>
      </c>
      <c r="K59" s="37">
        <f t="shared" ref="K59:K62" si="28">PRODUCT(I59,J59)</f>
        <v>1588.7068839999999</v>
      </c>
      <c r="L59">
        <v>70</v>
      </c>
      <c r="M59" s="37">
        <f t="shared" ref="M59:M62" si="29">PRODUCT(L59,G59)</f>
        <v>0</v>
      </c>
      <c r="N59" s="37">
        <f t="shared" ref="N59:N62" si="30">SUM(H59:I59)</f>
        <v>94.008398</v>
      </c>
      <c r="O59" t="s">
        <v>15</v>
      </c>
      <c r="P59" s="37">
        <f t="shared" ref="P59:P62" si="31">PRODUCT(Q59:R59)</f>
        <v>94.008397500000001</v>
      </c>
      <c r="Q59">
        <v>1.5</v>
      </c>
      <c r="R59" s="15">
        <v>62.672265000000003</v>
      </c>
    </row>
    <row r="60" spans="1:18" x14ac:dyDescent="0.25">
      <c r="A60" s="23" t="s">
        <v>10</v>
      </c>
      <c r="B60" s="37">
        <f>SUM(G9:P9)</f>
        <v>104.42873999999998</v>
      </c>
      <c r="C60">
        <v>0.7</v>
      </c>
      <c r="D60" s="37">
        <f t="shared" si="26"/>
        <v>73.100117999999981</v>
      </c>
      <c r="E60" t="s">
        <v>2</v>
      </c>
      <c r="F60" s="37">
        <f t="shared" si="27"/>
        <v>73.100117999999995</v>
      </c>
      <c r="G60" s="2">
        <v>0</v>
      </c>
      <c r="H60" s="2">
        <v>73.100117999999995</v>
      </c>
      <c r="I60" s="2">
        <v>24.549897999999999</v>
      </c>
      <c r="J60">
        <v>58</v>
      </c>
      <c r="K60" s="37">
        <f t="shared" si="28"/>
        <v>1423.894084</v>
      </c>
      <c r="L60">
        <v>70</v>
      </c>
      <c r="M60" s="37">
        <f t="shared" si="29"/>
        <v>0</v>
      </c>
      <c r="N60" s="37">
        <f t="shared" si="30"/>
        <v>97.650015999999994</v>
      </c>
      <c r="O60" t="s">
        <v>15</v>
      </c>
      <c r="P60" s="37">
        <f t="shared" si="31"/>
        <v>97.650016499999992</v>
      </c>
      <c r="Q60">
        <v>1.5</v>
      </c>
      <c r="R60" s="15">
        <v>65.100010999999995</v>
      </c>
    </row>
    <row r="61" spans="1:18" x14ac:dyDescent="0.25">
      <c r="A61" s="23" t="s">
        <v>11</v>
      </c>
      <c r="B61" s="37">
        <f>SUM(G10:P10)</f>
        <v>103.57142896750003</v>
      </c>
      <c r="C61">
        <v>0.7</v>
      </c>
      <c r="D61" s="37">
        <f t="shared" si="26"/>
        <v>72.50000027725001</v>
      </c>
      <c r="E61" t="s">
        <v>2</v>
      </c>
      <c r="F61" s="37">
        <f t="shared" si="27"/>
        <v>72.5</v>
      </c>
      <c r="G61" s="2">
        <v>0</v>
      </c>
      <c r="H61" s="2">
        <v>72.5</v>
      </c>
      <c r="I61" s="2">
        <v>42.142856999999999</v>
      </c>
      <c r="J61">
        <v>58</v>
      </c>
      <c r="K61" s="37">
        <f t="shared" si="28"/>
        <v>2444.2857060000001</v>
      </c>
      <c r="L61">
        <v>70</v>
      </c>
      <c r="M61" s="37">
        <f t="shared" si="29"/>
        <v>0</v>
      </c>
      <c r="N61" s="37">
        <f t="shared" si="30"/>
        <v>114.64285699999999</v>
      </c>
      <c r="O61" t="s">
        <v>15</v>
      </c>
      <c r="P61" s="37">
        <f t="shared" si="31"/>
        <v>114.64285650000001</v>
      </c>
      <c r="Q61">
        <v>1.5</v>
      </c>
      <c r="R61" s="15">
        <v>76.428571000000005</v>
      </c>
    </row>
    <row r="62" spans="1:18" x14ac:dyDescent="0.25">
      <c r="A62" s="24" t="s">
        <v>12</v>
      </c>
      <c r="B62" s="38">
        <f>SUM(G11:P11)</f>
        <v>92.46079242015</v>
      </c>
      <c r="C62" s="9">
        <v>0.7</v>
      </c>
      <c r="D62" s="38">
        <f t="shared" si="26"/>
        <v>64.722554694105</v>
      </c>
      <c r="E62" s="9" t="s">
        <v>2</v>
      </c>
      <c r="F62" s="38">
        <f t="shared" si="27"/>
        <v>64.722554000000002</v>
      </c>
      <c r="G62" s="10">
        <v>0</v>
      </c>
      <c r="H62" s="10">
        <v>64.722554000000002</v>
      </c>
      <c r="I62" s="10">
        <v>66.586258000000001</v>
      </c>
      <c r="J62" s="9">
        <v>58</v>
      </c>
      <c r="K62" s="38">
        <f t="shared" si="28"/>
        <v>3862.0029640000002</v>
      </c>
      <c r="L62" s="9">
        <v>70</v>
      </c>
      <c r="M62" s="38">
        <f t="shared" si="29"/>
        <v>0</v>
      </c>
      <c r="N62" s="38">
        <f t="shared" si="30"/>
        <v>131.30881199999999</v>
      </c>
      <c r="O62" s="9" t="s">
        <v>15</v>
      </c>
      <c r="P62" s="38">
        <f t="shared" si="31"/>
        <v>131.30881199999999</v>
      </c>
      <c r="Q62" s="9">
        <v>1.5</v>
      </c>
      <c r="R62" s="16">
        <v>87.539208000000002</v>
      </c>
    </row>
    <row r="65" spans="1:10" x14ac:dyDescent="0.25">
      <c r="A65" s="4" t="s">
        <v>72</v>
      </c>
      <c r="B65" s="20"/>
      <c r="C65" s="20"/>
      <c r="D65" s="20"/>
      <c r="E65" s="20"/>
      <c r="F65" s="20"/>
      <c r="G65" s="20"/>
      <c r="H65" s="20"/>
      <c r="I65" s="20"/>
      <c r="J65" s="21"/>
    </row>
    <row r="66" spans="1:10" ht="78.75" x14ac:dyDescent="0.25">
      <c r="A66" s="6"/>
      <c r="B66" s="30" t="s">
        <v>70</v>
      </c>
      <c r="C66" s="30" t="s">
        <v>71</v>
      </c>
      <c r="D66" s="30" t="s">
        <v>73</v>
      </c>
      <c r="E66" s="30" t="s">
        <v>119</v>
      </c>
      <c r="F66" s="30" t="s">
        <v>74</v>
      </c>
      <c r="G66" s="30" t="s">
        <v>69</v>
      </c>
      <c r="H66" s="30" t="s">
        <v>75</v>
      </c>
      <c r="I66" s="30" t="s">
        <v>14</v>
      </c>
      <c r="J66" s="7"/>
    </row>
    <row r="67" spans="1:10" x14ac:dyDescent="0.25">
      <c r="A67" s="23" t="s">
        <v>8</v>
      </c>
      <c r="B67" s="37">
        <f>SUM(E7:F7)</f>
        <v>32.299999999999997</v>
      </c>
      <c r="C67">
        <v>0.66659999999999997</v>
      </c>
      <c r="D67" s="37">
        <f>PRODUCT(B67:C67)</f>
        <v>21.531179999999996</v>
      </c>
      <c r="E67" s="37">
        <f>SUM(G7:P7)</f>
        <v>97.699999999999989</v>
      </c>
      <c r="F67" s="37">
        <f>F37</f>
        <v>20</v>
      </c>
      <c r="G67" s="37">
        <f>R58</f>
        <v>60.768819999999998</v>
      </c>
      <c r="H67" s="33">
        <f>SUM(D67:G67)</f>
        <v>200</v>
      </c>
      <c r="I67" t="s">
        <v>2</v>
      </c>
      <c r="J67" s="7">
        <v>200</v>
      </c>
    </row>
    <row r="68" spans="1:10" x14ac:dyDescent="0.25">
      <c r="A68" s="23" t="s">
        <v>9</v>
      </c>
      <c r="B68" s="37">
        <f>SUM(E8:F8)</f>
        <v>33.244427000000002</v>
      </c>
      <c r="C68">
        <v>0.66659999999999997</v>
      </c>
      <c r="D68" s="37">
        <f t="shared" ref="D68:D71" si="32">PRODUCT(B68:C68)</f>
        <v>22.160735038199999</v>
      </c>
      <c r="E68" s="37">
        <f>SUM(G8:P8)</f>
        <v>95.167000000000002</v>
      </c>
      <c r="F68" s="37">
        <f>F38</f>
        <v>20</v>
      </c>
      <c r="G68" s="37">
        <f>R59</f>
        <v>62.672265000000003</v>
      </c>
      <c r="H68" s="33">
        <f>SUM(D68:G68)</f>
        <v>200.0000000382</v>
      </c>
      <c r="I68" t="s">
        <v>2</v>
      </c>
      <c r="J68" s="7">
        <v>200</v>
      </c>
    </row>
    <row r="69" spans="1:10" x14ac:dyDescent="0.25">
      <c r="A69" s="23" t="s">
        <v>10</v>
      </c>
      <c r="B69" s="37">
        <f>SUM(E9:F9)</f>
        <v>11.005205649999999</v>
      </c>
      <c r="C69">
        <v>0.66659999999999997</v>
      </c>
      <c r="D69" s="37">
        <f t="shared" si="32"/>
        <v>7.3360700862899986</v>
      </c>
      <c r="E69" s="37">
        <f>SUM(G9:P9)</f>
        <v>104.42873999999998</v>
      </c>
      <c r="F69" s="37">
        <f>F39</f>
        <v>23.1351795</v>
      </c>
      <c r="G69" s="37">
        <f>R60</f>
        <v>65.100010999999995</v>
      </c>
      <c r="H69" s="33">
        <f>SUM(D69:G69)</f>
        <v>200.00000058628996</v>
      </c>
      <c r="I69" t="s">
        <v>2</v>
      </c>
      <c r="J69" s="7">
        <v>200</v>
      </c>
    </row>
    <row r="70" spans="1:10" x14ac:dyDescent="0.25">
      <c r="A70" s="23" t="s">
        <v>11</v>
      </c>
      <c r="B70" s="37">
        <f>SUM(E10:F10)</f>
        <v>0</v>
      </c>
      <c r="C70">
        <v>0.66659999999999997</v>
      </c>
      <c r="D70" s="37">
        <f t="shared" si="32"/>
        <v>0</v>
      </c>
      <c r="E70" s="37">
        <f>SUM(G10:P10)</f>
        <v>103.57142896750003</v>
      </c>
      <c r="F70" s="37">
        <f>F40</f>
        <v>20</v>
      </c>
      <c r="G70" s="37">
        <f>R61</f>
        <v>76.428571000000005</v>
      </c>
      <c r="H70" s="33">
        <f>SUM(D70:G70)</f>
        <v>199.99999996750003</v>
      </c>
      <c r="I70" t="s">
        <v>2</v>
      </c>
      <c r="J70" s="7">
        <v>200</v>
      </c>
    </row>
    <row r="71" spans="1:10" x14ac:dyDescent="0.25">
      <c r="A71" s="24" t="s">
        <v>12</v>
      </c>
      <c r="B71" s="38">
        <f>SUM(E11:F11)</f>
        <v>0</v>
      </c>
      <c r="C71" s="9">
        <v>0.66659999999999997</v>
      </c>
      <c r="D71" s="38">
        <f t="shared" si="32"/>
        <v>0</v>
      </c>
      <c r="E71" s="38">
        <f>SUM(G11:P11)</f>
        <v>92.46079242015</v>
      </c>
      <c r="F71" s="38">
        <f>F41</f>
        <v>20</v>
      </c>
      <c r="G71" s="38">
        <f>R62</f>
        <v>87.539208000000002</v>
      </c>
      <c r="H71" s="34">
        <f>SUM(D71:G71)</f>
        <v>200.00000042015</v>
      </c>
      <c r="I71" s="9" t="s">
        <v>2</v>
      </c>
      <c r="J71" s="11">
        <v>200</v>
      </c>
    </row>
    <row r="74" spans="1:10" x14ac:dyDescent="0.25">
      <c r="A74" s="4" t="s">
        <v>34</v>
      </c>
      <c r="B74" s="20"/>
      <c r="C74" s="20"/>
      <c r="D74" s="20"/>
      <c r="E74" s="20"/>
      <c r="F74" s="20"/>
      <c r="G74" s="20"/>
      <c r="H74" s="20"/>
      <c r="I74" s="20"/>
      <c r="J74" s="21"/>
    </row>
    <row r="75" spans="1:10" x14ac:dyDescent="0.25">
      <c r="A75" s="6"/>
      <c r="B75" s="52"/>
      <c r="C75" s="52"/>
      <c r="D75" s="52"/>
      <c r="E75" s="52"/>
      <c r="F75" s="52"/>
      <c r="G75" s="52"/>
      <c r="H75" s="52"/>
      <c r="I75" s="52"/>
      <c r="J75" s="7"/>
    </row>
    <row r="76" spans="1:10" x14ac:dyDescent="0.25">
      <c r="A76" s="6"/>
      <c r="B76" s="52"/>
      <c r="C76" s="52"/>
      <c r="D76" s="52"/>
      <c r="E76" s="52"/>
      <c r="F76" s="52"/>
      <c r="G76" s="52"/>
      <c r="H76" s="52"/>
      <c r="I76" s="52"/>
      <c r="J76" s="7"/>
    </row>
    <row r="77" spans="1:10" ht="47.25" x14ac:dyDescent="0.25">
      <c r="A77" s="23" t="s">
        <v>36</v>
      </c>
      <c r="B77" s="53" t="s">
        <v>13</v>
      </c>
      <c r="C77" s="53" t="s">
        <v>14</v>
      </c>
      <c r="D77" s="53" t="s">
        <v>89</v>
      </c>
      <c r="E77" s="53" t="s">
        <v>76</v>
      </c>
      <c r="F77" s="53" t="s">
        <v>77</v>
      </c>
      <c r="G77" s="53" t="s">
        <v>132</v>
      </c>
      <c r="H77" s="53" t="s">
        <v>78</v>
      </c>
      <c r="I77" s="53" t="s">
        <v>134</v>
      </c>
      <c r="J77" s="57" t="s">
        <v>368</v>
      </c>
    </row>
    <row r="78" spans="1:10" x14ac:dyDescent="0.25">
      <c r="A78" s="23" t="s">
        <v>8</v>
      </c>
      <c r="B78" s="54">
        <f>SUM(E7:P7)</f>
        <v>129.99999999999997</v>
      </c>
      <c r="C78" s="52" t="s">
        <v>2</v>
      </c>
      <c r="D78" s="54">
        <f>SUM(E78:F78)</f>
        <v>130</v>
      </c>
      <c r="E78" s="52">
        <v>130</v>
      </c>
      <c r="F78" s="55">
        <v>0</v>
      </c>
      <c r="G78" s="52">
        <v>39.71</v>
      </c>
      <c r="H78" s="54">
        <f>PRODUCT(F78,G78)</f>
        <v>0</v>
      </c>
      <c r="I78" s="56">
        <f>H78</f>
        <v>0</v>
      </c>
      <c r="J78" s="7">
        <v>5</v>
      </c>
    </row>
    <row r="79" spans="1:10" x14ac:dyDescent="0.25">
      <c r="A79" s="23" t="s">
        <v>9</v>
      </c>
      <c r="B79" s="54">
        <f>SUM(E8:P8)</f>
        <v>128.411427</v>
      </c>
      <c r="C79" s="52" t="s">
        <v>2</v>
      </c>
      <c r="D79" s="54">
        <f>SUM(E79,F79,F78)</f>
        <v>130</v>
      </c>
      <c r="E79" s="52">
        <v>130</v>
      </c>
      <c r="F79" s="55">
        <v>0</v>
      </c>
      <c r="G79" s="52">
        <v>39.71</v>
      </c>
      <c r="H79" s="54">
        <f>PRODUCT(F79,G79)</f>
        <v>0</v>
      </c>
      <c r="I79" s="56">
        <f>SUM(H79,H78)</f>
        <v>0</v>
      </c>
      <c r="J79" s="7">
        <v>6</v>
      </c>
    </row>
    <row r="80" spans="1:10" x14ac:dyDescent="0.25">
      <c r="A80" s="23" t="s">
        <v>10</v>
      </c>
      <c r="B80" s="54">
        <f>SUM(E9:P9)</f>
        <v>115.43394564999998</v>
      </c>
      <c r="C80" s="52" t="s">
        <v>2</v>
      </c>
      <c r="D80" s="54">
        <f>SUM(E80,F80,F79,F78)</f>
        <v>130</v>
      </c>
      <c r="E80" s="52">
        <v>130</v>
      </c>
      <c r="F80" s="55">
        <v>0</v>
      </c>
      <c r="G80" s="52">
        <v>39.71</v>
      </c>
      <c r="H80" s="54">
        <f t="shared" ref="H80:H82" si="33">PRODUCT(F80,G80)</f>
        <v>0</v>
      </c>
      <c r="I80" s="56">
        <f>SUM(H80,H79,H78)</f>
        <v>0</v>
      </c>
      <c r="J80" s="7">
        <v>7</v>
      </c>
    </row>
    <row r="81" spans="1:20" x14ac:dyDescent="0.25">
      <c r="A81" s="23" t="s">
        <v>11</v>
      </c>
      <c r="B81" s="54">
        <f>SUM(E10:P10)</f>
        <v>103.57142896750003</v>
      </c>
      <c r="C81" s="52" t="s">
        <v>2</v>
      </c>
      <c r="D81" s="54">
        <f>SUM(E81:F81,F80,F79,F78)</f>
        <v>130</v>
      </c>
      <c r="E81" s="52">
        <v>130</v>
      </c>
      <c r="F81" s="55">
        <v>0</v>
      </c>
      <c r="G81" s="52">
        <v>39.71</v>
      </c>
      <c r="H81" s="54">
        <f t="shared" si="33"/>
        <v>0</v>
      </c>
      <c r="I81" s="56">
        <f>SUM(H81,H80,H79,H78)</f>
        <v>0</v>
      </c>
      <c r="J81" s="7">
        <v>8</v>
      </c>
    </row>
    <row r="82" spans="1:20" x14ac:dyDescent="0.25">
      <c r="A82" s="23" t="s">
        <v>12</v>
      </c>
      <c r="B82" s="54">
        <f>SUM(E11:P11)</f>
        <v>92.46079242015</v>
      </c>
      <c r="C82" s="52" t="s">
        <v>2</v>
      </c>
      <c r="D82" s="54">
        <f>SUM(E82:F82,F81,F80,F79,F78)</f>
        <v>130</v>
      </c>
      <c r="E82" s="52">
        <v>130</v>
      </c>
      <c r="F82" s="55">
        <v>0</v>
      </c>
      <c r="G82" s="52">
        <v>39.71</v>
      </c>
      <c r="H82" s="54">
        <f t="shared" si="33"/>
        <v>0</v>
      </c>
      <c r="I82" s="56">
        <f>SUM(H82,H81,H80,H79,H78)</f>
        <v>0</v>
      </c>
      <c r="J82" s="7">
        <v>9</v>
      </c>
    </row>
    <row r="83" spans="1:20" ht="31.5" x14ac:dyDescent="0.25">
      <c r="A83" s="8"/>
      <c r="B83" s="9"/>
      <c r="C83" s="9"/>
      <c r="D83" s="9"/>
      <c r="E83" s="9"/>
      <c r="F83" s="9"/>
      <c r="G83" s="9"/>
      <c r="H83" s="40" t="s">
        <v>367</v>
      </c>
      <c r="I83" s="58">
        <f>SUM(I78:I82)</f>
        <v>0</v>
      </c>
      <c r="J83" s="11"/>
    </row>
    <row r="88" spans="1:20" x14ac:dyDescent="0.25">
      <c r="A88" s="14" t="s">
        <v>79</v>
      </c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1"/>
    </row>
    <row r="89" spans="1:20" ht="94.5" x14ac:dyDescent="0.25">
      <c r="A89" s="6"/>
      <c r="B89" s="30" t="s">
        <v>82</v>
      </c>
      <c r="C89" s="3" t="s">
        <v>13</v>
      </c>
      <c r="D89" s="30" t="s">
        <v>83</v>
      </c>
      <c r="E89" s="30" t="s">
        <v>84</v>
      </c>
      <c r="H89" s="30" t="s">
        <v>85</v>
      </c>
      <c r="I89" s="30" t="s">
        <v>86</v>
      </c>
      <c r="J89" s="30" t="s">
        <v>87</v>
      </c>
      <c r="K89" s="30" t="s">
        <v>88</v>
      </c>
      <c r="L89" s="30" t="s">
        <v>33</v>
      </c>
      <c r="T89" s="7"/>
    </row>
    <row r="90" spans="1:20" ht="63" x14ac:dyDescent="0.25">
      <c r="A90" s="6"/>
      <c r="B90" s="1"/>
      <c r="D90" s="1"/>
      <c r="E90" s="1"/>
      <c r="G90" s="30" t="s">
        <v>135</v>
      </c>
      <c r="H90" s="42">
        <v>10</v>
      </c>
      <c r="I90" s="42">
        <v>42</v>
      </c>
      <c r="J90" s="42">
        <v>4</v>
      </c>
      <c r="K90" s="42">
        <v>14</v>
      </c>
      <c r="N90" s="30" t="s">
        <v>90</v>
      </c>
      <c r="O90" s="30" t="s">
        <v>91</v>
      </c>
      <c r="P90" s="30" t="s">
        <v>92</v>
      </c>
      <c r="Q90" s="30" t="s">
        <v>93</v>
      </c>
      <c r="R90" s="30" t="s">
        <v>94</v>
      </c>
      <c r="S90" s="30" t="s">
        <v>95</v>
      </c>
      <c r="T90" s="31" t="s">
        <v>96</v>
      </c>
    </row>
    <row r="91" spans="1:20" x14ac:dyDescent="0.25">
      <c r="A91" s="23" t="s">
        <v>8</v>
      </c>
      <c r="B91" s="42">
        <f>SUM(E7:F7)</f>
        <v>32.299999999999997</v>
      </c>
      <c r="C91" s="42">
        <f>SUM(G7:P7)</f>
        <v>97.699999999999989</v>
      </c>
      <c r="D91" s="42">
        <f>F37</f>
        <v>20</v>
      </c>
      <c r="E91" s="42">
        <f>R58</f>
        <v>60.768819999999998</v>
      </c>
      <c r="G91" s="3" t="s">
        <v>8</v>
      </c>
      <c r="H91" s="37">
        <f>PRODUCT(H90,B91)</f>
        <v>323</v>
      </c>
      <c r="I91" s="37">
        <f>PRODUCT(I90,C91)</f>
        <v>4103.3999999999996</v>
      </c>
      <c r="J91" s="37">
        <f>PRODUCT(J90,D91)</f>
        <v>80</v>
      </c>
      <c r="K91" s="37">
        <f>PRODUCT(K90,E91)</f>
        <v>850.76347999999996</v>
      </c>
      <c r="L91" s="33">
        <f>SUM(H91:K91)</f>
        <v>5357.1634799999993</v>
      </c>
      <c r="M91" t="s">
        <v>2</v>
      </c>
      <c r="N91" s="37">
        <f>SUM(O91:P91)</f>
        <v>5500</v>
      </c>
      <c r="O91">
        <v>5500</v>
      </c>
      <c r="P91" s="2">
        <v>0</v>
      </c>
      <c r="Q91">
        <v>1.2</v>
      </c>
      <c r="R91" s="37">
        <f>PRODUCT(P91:Q91)</f>
        <v>0</v>
      </c>
      <c r="S91">
        <v>4000</v>
      </c>
      <c r="T91" s="36">
        <f>SUM(S91,R91)</f>
        <v>4000</v>
      </c>
    </row>
    <row r="92" spans="1:20" x14ac:dyDescent="0.25">
      <c r="A92" s="23" t="s">
        <v>9</v>
      </c>
      <c r="B92" s="42">
        <f>SUM(E8:F8)</f>
        <v>33.244427000000002</v>
      </c>
      <c r="C92" s="42">
        <f>SUM(G8:P8)</f>
        <v>95.167000000000002</v>
      </c>
      <c r="D92" s="42">
        <f t="shared" ref="D92:D95" si="34">F38</f>
        <v>20</v>
      </c>
      <c r="E92" s="42">
        <f>R59</f>
        <v>62.672265000000003</v>
      </c>
      <c r="G92" s="3" t="s">
        <v>9</v>
      </c>
      <c r="H92" s="37">
        <f>PRODUCT(H90,B92)</f>
        <v>332.44427000000002</v>
      </c>
      <c r="I92" s="37">
        <f>PRODUCT(I90,C92)</f>
        <v>3997.0140000000001</v>
      </c>
      <c r="J92" s="37">
        <f>PRODUCT(J90,D92)</f>
        <v>80</v>
      </c>
      <c r="K92" s="37">
        <f>PRODUCT(K90,E92)</f>
        <v>877.41171000000008</v>
      </c>
      <c r="L92" s="33">
        <f t="shared" ref="L92:L95" si="35">SUM(H92:K92)</f>
        <v>5286.8699800000004</v>
      </c>
      <c r="M92" t="s">
        <v>2</v>
      </c>
      <c r="N92" s="37">
        <f t="shared" ref="N92:N95" si="36">SUM(O92:P92)</f>
        <v>5500</v>
      </c>
      <c r="O92">
        <v>5500</v>
      </c>
      <c r="P92" s="2">
        <v>0</v>
      </c>
      <c r="Q92">
        <v>1.2</v>
      </c>
      <c r="R92" s="37">
        <f t="shared" ref="R92:R95" si="37">PRODUCT(P92:Q92)</f>
        <v>0</v>
      </c>
      <c r="S92">
        <v>4000</v>
      </c>
      <c r="T92" s="36">
        <f>SUM(S92,R92)</f>
        <v>4000</v>
      </c>
    </row>
    <row r="93" spans="1:20" x14ac:dyDescent="0.25">
      <c r="A93" s="23" t="s">
        <v>10</v>
      </c>
      <c r="B93" s="42">
        <f>SUM(E9:F9)</f>
        <v>11.005205649999999</v>
      </c>
      <c r="C93" s="42">
        <f>SUM(G9:P9)</f>
        <v>104.42873999999998</v>
      </c>
      <c r="D93" s="42">
        <f t="shared" si="34"/>
        <v>23.1351795</v>
      </c>
      <c r="E93" s="42">
        <f>R60</f>
        <v>65.100010999999995</v>
      </c>
      <c r="G93" s="3" t="s">
        <v>10</v>
      </c>
      <c r="H93" s="37">
        <f>PRODUCT(H90,B93)</f>
        <v>110.05205649999999</v>
      </c>
      <c r="I93" s="37">
        <f>PRODUCT(I90,C93)</f>
        <v>4386.0070799999994</v>
      </c>
      <c r="J93" s="37">
        <f>PRODUCT(J90,D93)</f>
        <v>92.540717999999998</v>
      </c>
      <c r="K93" s="37">
        <f>PRODUCT(K90,E93)</f>
        <v>911.40015399999993</v>
      </c>
      <c r="L93" s="33">
        <f t="shared" si="35"/>
        <v>5500.0000084999992</v>
      </c>
      <c r="M93" t="s">
        <v>2</v>
      </c>
      <c r="N93" s="37">
        <f t="shared" si="36"/>
        <v>5500</v>
      </c>
      <c r="O93">
        <v>5500</v>
      </c>
      <c r="P93" s="2">
        <v>0</v>
      </c>
      <c r="Q93">
        <v>1.2</v>
      </c>
      <c r="R93" s="37">
        <f t="shared" si="37"/>
        <v>0</v>
      </c>
      <c r="S93">
        <v>4000</v>
      </c>
      <c r="T93" s="36">
        <f>SUM(S93,R93)</f>
        <v>4000</v>
      </c>
    </row>
    <row r="94" spans="1:20" x14ac:dyDescent="0.25">
      <c r="A94" s="23" t="s">
        <v>11</v>
      </c>
      <c r="B94" s="42">
        <f>SUM(E10:F10)</f>
        <v>0</v>
      </c>
      <c r="C94" s="42">
        <f>SUM(G10:P10)</f>
        <v>103.57142896750003</v>
      </c>
      <c r="D94" s="42">
        <f t="shared" si="34"/>
        <v>20</v>
      </c>
      <c r="E94" s="42">
        <f>R61</f>
        <v>76.428571000000005</v>
      </c>
      <c r="G94" s="3" t="s">
        <v>11</v>
      </c>
      <c r="H94" s="37">
        <f>PRODUCT(H90,B94)</f>
        <v>0</v>
      </c>
      <c r="I94" s="37">
        <f>PRODUCT(I90,C94)</f>
        <v>4350.000016635001</v>
      </c>
      <c r="J94" s="37">
        <f>PRODUCT(J90,D94)</f>
        <v>80</v>
      </c>
      <c r="K94" s="37">
        <f>PRODUCT(K90,E94)</f>
        <v>1069.999994</v>
      </c>
      <c r="L94" s="33">
        <f t="shared" si="35"/>
        <v>5500.0000106350008</v>
      </c>
      <c r="M94" t="s">
        <v>2</v>
      </c>
      <c r="N94" s="37">
        <f t="shared" si="36"/>
        <v>5500</v>
      </c>
      <c r="O94">
        <v>5500</v>
      </c>
      <c r="P94" s="2">
        <v>0</v>
      </c>
      <c r="Q94">
        <v>1.2</v>
      </c>
      <c r="R94" s="37">
        <f t="shared" si="37"/>
        <v>0</v>
      </c>
      <c r="S94">
        <v>4000</v>
      </c>
      <c r="T94" s="36">
        <f>SUM(S94,R94)</f>
        <v>4000</v>
      </c>
    </row>
    <row r="95" spans="1:20" x14ac:dyDescent="0.25">
      <c r="A95" s="23" t="s">
        <v>12</v>
      </c>
      <c r="B95" s="42">
        <f>SUM(E11:F11)</f>
        <v>0</v>
      </c>
      <c r="C95" s="42">
        <f>SUM(G11:P11)</f>
        <v>92.46079242015</v>
      </c>
      <c r="D95" s="42">
        <f t="shared" si="34"/>
        <v>20</v>
      </c>
      <c r="E95" s="42">
        <f>R62</f>
        <v>87.539208000000002</v>
      </c>
      <c r="G95" s="3" t="s">
        <v>12</v>
      </c>
      <c r="H95" s="37">
        <f>PRODUCT(H90,B95)</f>
        <v>0</v>
      </c>
      <c r="I95" s="37">
        <f>PRODUCT(I90,C95)</f>
        <v>3883.3532816462998</v>
      </c>
      <c r="J95" s="37">
        <f>PRODUCT(J90,D95)</f>
        <v>80</v>
      </c>
      <c r="K95" s="37">
        <f>PRODUCT(K90,E95)</f>
        <v>1225.548912</v>
      </c>
      <c r="L95" s="33">
        <f t="shared" si="35"/>
        <v>5188.9021936462996</v>
      </c>
      <c r="M95" t="s">
        <v>2</v>
      </c>
      <c r="N95" s="37">
        <f t="shared" si="36"/>
        <v>5500</v>
      </c>
      <c r="O95">
        <v>5500</v>
      </c>
      <c r="P95" s="2">
        <v>0</v>
      </c>
      <c r="Q95">
        <v>1.2</v>
      </c>
      <c r="R95" s="37">
        <f t="shared" si="37"/>
        <v>0</v>
      </c>
      <c r="S95">
        <v>4000</v>
      </c>
      <c r="T95" s="36">
        <f>SUM(S95,R95)</f>
        <v>4000</v>
      </c>
    </row>
    <row r="96" spans="1:20" ht="47.25" x14ac:dyDescent="0.25">
      <c r="A96" s="8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40" t="s">
        <v>97</v>
      </c>
      <c r="T96" s="39">
        <f>SUM(T91:T95)</f>
        <v>20000</v>
      </c>
    </row>
    <row r="97" spans="1:19" x14ac:dyDescent="0.25">
      <c r="S97" s="1"/>
    </row>
    <row r="98" spans="1:19" x14ac:dyDescent="0.25">
      <c r="A98" s="4" t="s">
        <v>98</v>
      </c>
      <c r="B98" s="20"/>
      <c r="C98" s="20"/>
      <c r="D98" s="20"/>
      <c r="E98" s="20"/>
      <c r="F98" s="21"/>
    </row>
    <row r="99" spans="1:19" x14ac:dyDescent="0.25">
      <c r="A99" s="6"/>
      <c r="F99" s="7"/>
    </row>
    <row r="100" spans="1:19" ht="31.5" x14ac:dyDescent="0.25">
      <c r="A100" s="6"/>
      <c r="B100" s="3" t="s">
        <v>5</v>
      </c>
      <c r="C100" s="3" t="s">
        <v>80</v>
      </c>
      <c r="D100" s="3" t="s">
        <v>99</v>
      </c>
      <c r="E100" s="30" t="s">
        <v>100</v>
      </c>
      <c r="F100" s="25" t="s">
        <v>101</v>
      </c>
    </row>
    <row r="101" spans="1:19" x14ac:dyDescent="0.25">
      <c r="A101" s="23" t="s">
        <v>81</v>
      </c>
      <c r="B101" s="42">
        <v>50</v>
      </c>
      <c r="C101" s="42">
        <v>100</v>
      </c>
      <c r="D101" s="42">
        <v>15</v>
      </c>
      <c r="E101" s="42">
        <v>10</v>
      </c>
      <c r="F101" s="7"/>
    </row>
    <row r="102" spans="1:19" x14ac:dyDescent="0.25">
      <c r="A102" s="23" t="s">
        <v>8</v>
      </c>
      <c r="B102" s="37">
        <f>PRODUCT(B91,B101)</f>
        <v>1614.9999999999998</v>
      </c>
      <c r="C102" s="37">
        <f t="shared" ref="C102:E102" si="38">PRODUCT(C91,C101)</f>
        <v>9769.9999999999982</v>
      </c>
      <c r="D102" s="37">
        <f t="shared" si="38"/>
        <v>300</v>
      </c>
      <c r="E102" s="37">
        <f t="shared" si="38"/>
        <v>607.68819999999994</v>
      </c>
      <c r="F102" s="32">
        <f>SUM(B102:E102)</f>
        <v>12292.688199999999</v>
      </c>
    </row>
    <row r="103" spans="1:19" x14ac:dyDescent="0.25">
      <c r="A103" s="23" t="s">
        <v>9</v>
      </c>
      <c r="B103" s="37">
        <f>PRODUCT(B92,B101)</f>
        <v>1662.22135</v>
      </c>
      <c r="C103" s="37">
        <f t="shared" ref="C103:E103" si="39">PRODUCT(C92,C101)</f>
        <v>9516.7000000000007</v>
      </c>
      <c r="D103" s="37">
        <f t="shared" si="39"/>
        <v>300</v>
      </c>
      <c r="E103" s="37">
        <f t="shared" si="39"/>
        <v>626.72265000000004</v>
      </c>
      <c r="F103" s="32">
        <f t="shared" ref="F103:F106" si="40">SUM(B103:E103)</f>
        <v>12105.644</v>
      </c>
    </row>
    <row r="104" spans="1:19" x14ac:dyDescent="0.25">
      <c r="A104" s="23" t="s">
        <v>10</v>
      </c>
      <c r="B104" s="37">
        <f>PRODUCT(B93,B101)</f>
        <v>550.2602824999999</v>
      </c>
      <c r="C104" s="37">
        <f t="shared" ref="C104:E104" si="41">PRODUCT(C93,C101)</f>
        <v>10442.873999999998</v>
      </c>
      <c r="D104" s="37">
        <f t="shared" si="41"/>
        <v>347.0276925</v>
      </c>
      <c r="E104" s="37">
        <f t="shared" si="41"/>
        <v>651.00010999999995</v>
      </c>
      <c r="F104" s="32">
        <f t="shared" si="40"/>
        <v>11991.162084999996</v>
      </c>
    </row>
    <row r="105" spans="1:19" x14ac:dyDescent="0.25">
      <c r="A105" s="23" t="s">
        <v>11</v>
      </c>
      <c r="B105" s="37">
        <f>PRODUCT(B94,B101)</f>
        <v>0</v>
      </c>
      <c r="C105" s="37">
        <f t="shared" ref="C105:E105" si="42">PRODUCT(C94,C101)</f>
        <v>10357.142896750003</v>
      </c>
      <c r="D105" s="37">
        <f t="shared" si="42"/>
        <v>300</v>
      </c>
      <c r="E105" s="37">
        <f t="shared" si="42"/>
        <v>764.28571000000011</v>
      </c>
      <c r="F105" s="32">
        <f t="shared" si="40"/>
        <v>11421.428606750003</v>
      </c>
    </row>
    <row r="106" spans="1:19" x14ac:dyDescent="0.25">
      <c r="A106" s="23" t="s">
        <v>12</v>
      </c>
      <c r="B106" s="37">
        <f>PRODUCT(B95,B101)</f>
        <v>0</v>
      </c>
      <c r="C106" s="37">
        <f t="shared" ref="C106:E106" si="43">PRODUCT(C95,C101)</f>
        <v>9246.0792420149992</v>
      </c>
      <c r="D106" s="37">
        <f t="shared" si="43"/>
        <v>300</v>
      </c>
      <c r="E106" s="37">
        <f t="shared" si="43"/>
        <v>875.39208000000008</v>
      </c>
      <c r="F106" s="32">
        <f t="shared" si="40"/>
        <v>10421.471322014999</v>
      </c>
    </row>
    <row r="107" spans="1:19" ht="31.5" x14ac:dyDescent="0.25">
      <c r="A107" s="8"/>
      <c r="B107" s="9"/>
      <c r="C107" s="9"/>
      <c r="D107" s="9"/>
      <c r="E107" s="40" t="s">
        <v>102</v>
      </c>
      <c r="F107" s="39">
        <f>SUM(F102:F106)</f>
        <v>58232.394213765001</v>
      </c>
    </row>
    <row r="109" spans="1:19" x14ac:dyDescent="0.25">
      <c r="A109" s="4" t="s">
        <v>103</v>
      </c>
      <c r="B109" s="20"/>
      <c r="C109" s="20"/>
      <c r="D109" s="21"/>
      <c r="F109" s="4" t="s">
        <v>106</v>
      </c>
      <c r="G109" s="20"/>
      <c r="H109" s="20"/>
      <c r="I109" s="21"/>
    </row>
    <row r="110" spans="1:19" x14ac:dyDescent="0.25">
      <c r="A110" s="6"/>
      <c r="D110" s="7"/>
      <c r="F110" s="6"/>
      <c r="I110" s="7"/>
    </row>
    <row r="111" spans="1:19" x14ac:dyDescent="0.25">
      <c r="A111" s="6"/>
      <c r="D111" s="7"/>
      <c r="F111" s="6"/>
      <c r="I111" s="7"/>
    </row>
    <row r="112" spans="1:19" ht="78.75" x14ac:dyDescent="0.25">
      <c r="A112" s="23" t="s">
        <v>36</v>
      </c>
      <c r="B112" s="30" t="s">
        <v>20</v>
      </c>
      <c r="C112" s="30" t="s">
        <v>104</v>
      </c>
      <c r="D112" s="31" t="s">
        <v>105</v>
      </c>
      <c r="F112" s="23" t="s">
        <v>36</v>
      </c>
      <c r="G112" s="30" t="s">
        <v>107</v>
      </c>
      <c r="H112" s="30" t="s">
        <v>108</v>
      </c>
      <c r="I112" s="31" t="s">
        <v>109</v>
      </c>
    </row>
    <row r="113" spans="1:9" x14ac:dyDescent="0.25">
      <c r="A113" s="23" t="s">
        <v>8</v>
      </c>
      <c r="B113" s="37">
        <f>SUM(G7:P7)</f>
        <v>97.699999999999989</v>
      </c>
      <c r="C113">
        <v>370</v>
      </c>
      <c r="D113" s="32">
        <f>PRODUCT(B113:C113)</f>
        <v>36148.999999999993</v>
      </c>
      <c r="F113" s="23" t="s">
        <v>8</v>
      </c>
      <c r="G113" s="37">
        <f>Q7</f>
        <v>9.8000000000000007</v>
      </c>
      <c r="H113">
        <v>120</v>
      </c>
      <c r="I113" s="32">
        <f>PRODUCT(G113:H113)</f>
        <v>1176</v>
      </c>
    </row>
    <row r="114" spans="1:9" x14ac:dyDescent="0.25">
      <c r="A114" s="23" t="s">
        <v>9</v>
      </c>
      <c r="B114" s="37">
        <f>SUM(G8:P8)</f>
        <v>95.167000000000002</v>
      </c>
      <c r="C114">
        <v>370</v>
      </c>
      <c r="D114" s="32">
        <f t="shared" ref="D114:D117" si="44">PRODUCT(B114:C114)</f>
        <v>35211.79</v>
      </c>
      <c r="F114" s="23" t="s">
        <v>9</v>
      </c>
      <c r="G114" s="37">
        <f>Q8</f>
        <v>9.604000000000001</v>
      </c>
      <c r="H114">
        <v>120</v>
      </c>
      <c r="I114" s="32">
        <f t="shared" ref="I114:I117" si="45">PRODUCT(G114:H114)</f>
        <v>1152.48</v>
      </c>
    </row>
    <row r="115" spans="1:9" x14ac:dyDescent="0.25">
      <c r="A115" s="23" t="s">
        <v>10</v>
      </c>
      <c r="B115" s="37">
        <f>SUM(G9:P9)</f>
        <v>104.42873999999998</v>
      </c>
      <c r="C115">
        <v>370</v>
      </c>
      <c r="D115" s="32">
        <f t="shared" si="44"/>
        <v>38638.633799999989</v>
      </c>
      <c r="F115" s="23" t="s">
        <v>10</v>
      </c>
      <c r="G115" s="37">
        <f>Q9</f>
        <v>9.4119200000000003</v>
      </c>
      <c r="H115">
        <v>120</v>
      </c>
      <c r="I115" s="32">
        <f t="shared" si="45"/>
        <v>1129.4304</v>
      </c>
    </row>
    <row r="116" spans="1:9" x14ac:dyDescent="0.25">
      <c r="A116" s="23" t="s">
        <v>11</v>
      </c>
      <c r="B116" s="37">
        <f>SUM(G10:P10)</f>
        <v>103.57142896750003</v>
      </c>
      <c r="C116">
        <v>370</v>
      </c>
      <c r="D116" s="32">
        <f t="shared" si="44"/>
        <v>38321.42871797501</v>
      </c>
      <c r="F116" s="23" t="s">
        <v>11</v>
      </c>
      <c r="G116" s="37">
        <f>Q10</f>
        <v>9.2236816000000008</v>
      </c>
      <c r="H116">
        <v>120</v>
      </c>
      <c r="I116" s="32">
        <f t="shared" si="45"/>
        <v>1106.8417920000002</v>
      </c>
    </row>
    <row r="117" spans="1:9" x14ac:dyDescent="0.25">
      <c r="A117" s="24" t="s">
        <v>12</v>
      </c>
      <c r="B117" s="38">
        <f>SUM(G11:P11)</f>
        <v>92.46079242015</v>
      </c>
      <c r="C117" s="9">
        <v>370</v>
      </c>
      <c r="D117" s="39">
        <f t="shared" si="44"/>
        <v>34210.4931954555</v>
      </c>
      <c r="F117" s="24" t="s">
        <v>12</v>
      </c>
      <c r="G117" s="38">
        <f>Q11</f>
        <v>9.0392079680000013</v>
      </c>
      <c r="H117" s="9">
        <v>120</v>
      </c>
      <c r="I117" s="39">
        <f t="shared" si="45"/>
        <v>1084.7049561600002</v>
      </c>
    </row>
    <row r="121" spans="1:9" x14ac:dyDescent="0.25">
      <c r="A121" s="4" t="s">
        <v>115</v>
      </c>
      <c r="B121" s="20"/>
      <c r="C121" s="20"/>
      <c r="D121" s="20"/>
      <c r="E121" s="20"/>
      <c r="F121" s="20"/>
      <c r="G121" s="20"/>
      <c r="H121" s="21"/>
    </row>
    <row r="122" spans="1:9" x14ac:dyDescent="0.25">
      <c r="A122" s="6"/>
      <c r="H122" s="7"/>
    </row>
    <row r="123" spans="1:9" ht="63" x14ac:dyDescent="0.25">
      <c r="A123" s="23"/>
      <c r="B123" s="30" t="s">
        <v>136</v>
      </c>
      <c r="C123" s="30" t="s">
        <v>137</v>
      </c>
      <c r="D123" s="30" t="s">
        <v>138</v>
      </c>
      <c r="E123" s="30" t="s">
        <v>139</v>
      </c>
      <c r="F123" s="30" t="s">
        <v>140</v>
      </c>
      <c r="G123" s="30" t="s">
        <v>141</v>
      </c>
      <c r="H123" s="31" t="s">
        <v>142</v>
      </c>
    </row>
    <row r="124" spans="1:9" x14ac:dyDescent="0.25">
      <c r="A124" s="23" t="s">
        <v>8</v>
      </c>
      <c r="B124" s="37">
        <f>R25</f>
        <v>1237.3999999999999</v>
      </c>
      <c r="C124" s="37">
        <f>Q25</f>
        <v>1612.05</v>
      </c>
      <c r="D124" s="37">
        <f>I113</f>
        <v>1176</v>
      </c>
      <c r="E124" s="37">
        <f>D113</f>
        <v>36148.999999999993</v>
      </c>
      <c r="F124" s="37">
        <f>K46</f>
        <v>0</v>
      </c>
      <c r="G124" s="37">
        <f>K58</f>
        <v>1320.2673400000001</v>
      </c>
      <c r="H124" s="32">
        <f>SUM(B124:G124)</f>
        <v>41494.717339999988</v>
      </c>
    </row>
    <row r="125" spans="1:9" x14ac:dyDescent="0.25">
      <c r="A125" s="23" t="s">
        <v>9</v>
      </c>
      <c r="B125" s="37">
        <f>R26</f>
        <v>1630.2969200000002</v>
      </c>
      <c r="C125" s="37">
        <f>Q26</f>
        <v>1570.2555000000002</v>
      </c>
      <c r="D125" s="37">
        <f t="shared" ref="D125:D128" si="46">I114</f>
        <v>1152.48</v>
      </c>
      <c r="E125" s="37">
        <f t="shared" ref="E125:E128" si="47">D114</f>
        <v>35211.79</v>
      </c>
      <c r="F125" s="37">
        <f>K47</f>
        <v>0</v>
      </c>
      <c r="G125" s="37">
        <f>K59</f>
        <v>1588.7068839999999</v>
      </c>
      <c r="H125" s="32">
        <f t="shared" ref="H125:H128" si="48">SUM(B125:G125)</f>
        <v>41153.529304000003</v>
      </c>
    </row>
    <row r="126" spans="1:9" x14ac:dyDescent="0.25">
      <c r="A126" s="23" t="s">
        <v>10</v>
      </c>
      <c r="B126" s="37">
        <f>R27</f>
        <v>2297.43228</v>
      </c>
      <c r="C126" s="37">
        <f>Q27</f>
        <v>1723.0742099999998</v>
      </c>
      <c r="D126" s="37">
        <f t="shared" si="46"/>
        <v>1129.4304</v>
      </c>
      <c r="E126" s="37">
        <f t="shared" si="47"/>
        <v>38638.633799999989</v>
      </c>
      <c r="F126" s="37">
        <f>K48</f>
        <v>0</v>
      </c>
      <c r="G126" s="37">
        <f>K60</f>
        <v>1423.894084</v>
      </c>
      <c r="H126" s="32">
        <f t="shared" si="48"/>
        <v>45212.464773999985</v>
      </c>
    </row>
    <row r="127" spans="1:9" x14ac:dyDescent="0.25">
      <c r="A127" s="23" t="s">
        <v>11</v>
      </c>
      <c r="B127" s="37">
        <f>R28</f>
        <v>2278.5714400000002</v>
      </c>
      <c r="C127" s="37">
        <f>Q28</f>
        <v>1708.9285779637505</v>
      </c>
      <c r="D127" s="37">
        <f t="shared" si="46"/>
        <v>1106.8417920000002</v>
      </c>
      <c r="E127" s="37">
        <f t="shared" si="47"/>
        <v>38321.42871797501</v>
      </c>
      <c r="F127" s="37">
        <f>K49</f>
        <v>0</v>
      </c>
      <c r="G127" s="37">
        <f>K61</f>
        <v>2444.2857060000001</v>
      </c>
      <c r="H127" s="32">
        <f t="shared" si="48"/>
        <v>45860.056233938762</v>
      </c>
    </row>
    <row r="128" spans="1:9" x14ac:dyDescent="0.25">
      <c r="A128" s="24" t="s">
        <v>12</v>
      </c>
      <c r="B128" s="38">
        <f>R29</f>
        <v>2034.13744</v>
      </c>
      <c r="C128" s="38">
        <f>Q29</f>
        <v>1525.6030749324752</v>
      </c>
      <c r="D128" s="38">
        <f t="shared" si="46"/>
        <v>1084.7049561600002</v>
      </c>
      <c r="E128" s="38">
        <f t="shared" si="47"/>
        <v>34210.4931954555</v>
      </c>
      <c r="F128" s="38">
        <f>K50</f>
        <v>0</v>
      </c>
      <c r="G128" s="38">
        <f>K62</f>
        <v>3862.0029640000002</v>
      </c>
      <c r="H128" s="39">
        <f t="shared" si="48"/>
        <v>42716.941630547975</v>
      </c>
    </row>
    <row r="131" spans="1:10" x14ac:dyDescent="0.25">
      <c r="A131" s="4" t="s">
        <v>111</v>
      </c>
      <c r="B131" s="20"/>
      <c r="C131" s="20"/>
      <c r="D131" s="20"/>
      <c r="E131" s="20"/>
      <c r="F131" s="20"/>
      <c r="G131" s="21"/>
    </row>
    <row r="132" spans="1:10" x14ac:dyDescent="0.25">
      <c r="A132" s="6"/>
      <c r="G132" s="7"/>
    </row>
    <row r="133" spans="1:10" ht="47.25" x14ac:dyDescent="0.25">
      <c r="A133" s="23"/>
      <c r="B133" s="30" t="s">
        <v>112</v>
      </c>
      <c r="C133" s="30" t="s">
        <v>113</v>
      </c>
      <c r="D133" s="30" t="s">
        <v>114</v>
      </c>
      <c r="E133" s="30" t="s">
        <v>98</v>
      </c>
      <c r="F133" s="30" t="s">
        <v>133</v>
      </c>
      <c r="G133" s="31" t="s">
        <v>143</v>
      </c>
    </row>
    <row r="134" spans="1:10" x14ac:dyDescent="0.25">
      <c r="A134" s="23" t="s">
        <v>8</v>
      </c>
      <c r="B134" s="37">
        <f>M46</f>
        <v>3295.7999999999997</v>
      </c>
      <c r="C134" s="37">
        <f>M58</f>
        <v>0</v>
      </c>
      <c r="D134" s="37">
        <f>T91</f>
        <v>4000</v>
      </c>
      <c r="E134" s="37">
        <f>F102</f>
        <v>12292.688199999999</v>
      </c>
      <c r="F134" s="37">
        <f>I78</f>
        <v>0</v>
      </c>
      <c r="G134" s="32">
        <f>SUM(B134:F134)</f>
        <v>19588.4882</v>
      </c>
    </row>
    <row r="135" spans="1:10" x14ac:dyDescent="0.25">
      <c r="A135" s="23" t="s">
        <v>9</v>
      </c>
      <c r="B135" s="37">
        <f>M47</f>
        <v>3159.018</v>
      </c>
      <c r="C135" s="37">
        <f>M59</f>
        <v>0</v>
      </c>
      <c r="D135" s="37">
        <f>T92</f>
        <v>4000</v>
      </c>
      <c r="E135" s="37">
        <f t="shared" ref="E135:E138" si="49">F103</f>
        <v>12105.644</v>
      </c>
      <c r="F135" s="37">
        <f>I79</f>
        <v>0</v>
      </c>
      <c r="G135" s="32">
        <f t="shared" ref="G135:G138" si="50">SUM(B135:F135)</f>
        <v>19264.662</v>
      </c>
    </row>
    <row r="136" spans="1:10" x14ac:dyDescent="0.25">
      <c r="A136" s="23" t="s">
        <v>10</v>
      </c>
      <c r="B136" s="37">
        <f>M48</f>
        <v>3405.2023800000002</v>
      </c>
      <c r="C136" s="37">
        <f>M60</f>
        <v>0</v>
      </c>
      <c r="D136" s="37">
        <f>T93</f>
        <v>4000</v>
      </c>
      <c r="E136" s="37">
        <f t="shared" si="49"/>
        <v>11991.162084999996</v>
      </c>
      <c r="F136" s="37">
        <f>I80</f>
        <v>0</v>
      </c>
      <c r="G136" s="32">
        <f t="shared" si="50"/>
        <v>19396.364464999999</v>
      </c>
    </row>
    <row r="137" spans="1:10" x14ac:dyDescent="0.25">
      <c r="A137" s="23" t="s">
        <v>11</v>
      </c>
      <c r="B137" s="37">
        <f>M49</f>
        <v>3612.8571299999999</v>
      </c>
      <c r="C137" s="37">
        <f>M61</f>
        <v>0</v>
      </c>
      <c r="D137" s="37">
        <f>T94</f>
        <v>4000</v>
      </c>
      <c r="E137" s="37">
        <f t="shared" si="49"/>
        <v>11421.428606750003</v>
      </c>
      <c r="F137" s="37">
        <f>I81</f>
        <v>0</v>
      </c>
      <c r="G137" s="32">
        <f t="shared" si="50"/>
        <v>19034.285736750004</v>
      </c>
    </row>
    <row r="138" spans="1:10" x14ac:dyDescent="0.25">
      <c r="A138" s="24" t="s">
        <v>12</v>
      </c>
      <c r="B138" s="38">
        <f>M50</f>
        <v>3012.8827500000002</v>
      </c>
      <c r="C138" s="38">
        <f>M62</f>
        <v>0</v>
      </c>
      <c r="D138" s="38">
        <f>T95</f>
        <v>4000</v>
      </c>
      <c r="E138" s="38">
        <f t="shared" si="49"/>
        <v>10421.471322014999</v>
      </c>
      <c r="F138" s="38">
        <f>I82</f>
        <v>0</v>
      </c>
      <c r="G138" s="39">
        <f t="shared" si="50"/>
        <v>17434.354072014998</v>
      </c>
    </row>
    <row r="141" spans="1:10" x14ac:dyDescent="0.25">
      <c r="A141" s="4" t="s">
        <v>116</v>
      </c>
      <c r="B141" s="20"/>
      <c r="C141" s="20"/>
      <c r="D141" s="20"/>
      <c r="E141" s="20"/>
      <c r="F141" s="21"/>
    </row>
    <row r="142" spans="1:10" x14ac:dyDescent="0.25">
      <c r="A142" s="6"/>
      <c r="F142" s="7"/>
    </row>
    <row r="143" spans="1:10" x14ac:dyDescent="0.25">
      <c r="A143" s="6"/>
      <c r="B143" s="3" t="s">
        <v>115</v>
      </c>
      <c r="C143" s="3" t="s">
        <v>111</v>
      </c>
      <c r="D143" s="3" t="s">
        <v>110</v>
      </c>
      <c r="F143" s="7"/>
      <c r="J143" t="s">
        <v>144</v>
      </c>
    </row>
    <row r="144" spans="1:10" x14ac:dyDescent="0.25">
      <c r="A144" s="23" t="s">
        <v>8</v>
      </c>
      <c r="B144" s="37">
        <f>H124</f>
        <v>41494.717339999988</v>
      </c>
      <c r="C144" s="37">
        <f>G134</f>
        <v>19588.4882</v>
      </c>
      <c r="D144" s="33">
        <f>B144-C144</f>
        <v>21906.229139999989</v>
      </c>
      <c r="E144" t="s">
        <v>117</v>
      </c>
      <c r="F144" s="7">
        <v>0</v>
      </c>
    </row>
    <row r="145" spans="1:13" x14ac:dyDescent="0.25">
      <c r="A145" s="23" t="s">
        <v>9</v>
      </c>
      <c r="B145" s="37">
        <f t="shared" ref="B145:B148" si="51">H125</f>
        <v>41153.529304000003</v>
      </c>
      <c r="C145" s="37">
        <f t="shared" ref="C145:C148" si="52">G135</f>
        <v>19264.662</v>
      </c>
      <c r="D145" s="33">
        <f t="shared" ref="D145:D148" si="53">B145-C145</f>
        <v>21888.867304000003</v>
      </c>
      <c r="E145" t="s">
        <v>117</v>
      </c>
      <c r="F145" s="7">
        <v>0</v>
      </c>
      <c r="I145">
        <v>50</v>
      </c>
      <c r="J145" t="s">
        <v>2</v>
      </c>
      <c r="K145" s="37">
        <f>SUM(G11:P11)</f>
        <v>92.46079242015</v>
      </c>
      <c r="L145" t="s">
        <v>2</v>
      </c>
      <c r="M145">
        <v>175</v>
      </c>
    </row>
    <row r="146" spans="1:13" x14ac:dyDescent="0.25">
      <c r="A146" s="23" t="s">
        <v>10</v>
      </c>
      <c r="B146" s="37">
        <f t="shared" si="51"/>
        <v>45212.464773999985</v>
      </c>
      <c r="C146" s="37">
        <f t="shared" si="52"/>
        <v>19396.364464999999</v>
      </c>
      <c r="D146" s="33">
        <f t="shared" si="53"/>
        <v>25816.100308999987</v>
      </c>
      <c r="E146" t="s">
        <v>117</v>
      </c>
      <c r="F146" s="7">
        <v>0</v>
      </c>
    </row>
    <row r="147" spans="1:13" x14ac:dyDescent="0.25">
      <c r="A147" s="23" t="s">
        <v>11</v>
      </c>
      <c r="B147" s="37">
        <f t="shared" si="51"/>
        <v>45860.056233938762</v>
      </c>
      <c r="C147" s="37">
        <f t="shared" si="52"/>
        <v>19034.285736750004</v>
      </c>
      <c r="D147" s="33">
        <f t="shared" si="53"/>
        <v>26825.770497188758</v>
      </c>
      <c r="E147" t="s">
        <v>117</v>
      </c>
      <c r="F147" s="7">
        <v>0</v>
      </c>
    </row>
    <row r="148" spans="1:13" x14ac:dyDescent="0.25">
      <c r="A148" s="23" t="s">
        <v>12</v>
      </c>
      <c r="B148" s="37">
        <f t="shared" si="51"/>
        <v>42716.941630547975</v>
      </c>
      <c r="C148" s="37">
        <f t="shared" si="52"/>
        <v>17434.354072014998</v>
      </c>
      <c r="D148" s="33">
        <f t="shared" si="53"/>
        <v>25282.587558532978</v>
      </c>
      <c r="E148" t="s">
        <v>117</v>
      </c>
      <c r="F148" s="7">
        <v>0</v>
      </c>
    </row>
    <row r="149" spans="1:13" x14ac:dyDescent="0.25">
      <c r="A149" s="8"/>
      <c r="B149" s="9"/>
      <c r="C149" s="40" t="s">
        <v>118</v>
      </c>
      <c r="D149" s="44">
        <f>SUM(D144:D148)-SUMPRODUCT(J78:J82,F78:F82,G78:G82)</f>
        <v>121719.55480872172</v>
      </c>
      <c r="E149" s="9"/>
      <c r="F149" s="11"/>
    </row>
    <row r="197" spans="1:5" x14ac:dyDescent="0.25">
      <c r="A197" s="14"/>
      <c r="B197" s="20" t="s">
        <v>148</v>
      </c>
      <c r="C197" s="20"/>
      <c r="D197" s="20"/>
      <c r="E197" s="21"/>
    </row>
    <row r="198" spans="1:5" x14ac:dyDescent="0.25">
      <c r="A198" s="6"/>
      <c r="B198" s="52"/>
      <c r="C198" s="52"/>
      <c r="D198" s="52"/>
      <c r="E198" s="7"/>
    </row>
    <row r="199" spans="1:5" x14ac:dyDescent="0.25">
      <c r="A199" s="6"/>
      <c r="B199" s="52" t="s">
        <v>13</v>
      </c>
      <c r="C199" s="52" t="s">
        <v>115</v>
      </c>
      <c r="D199" s="52" t="s">
        <v>111</v>
      </c>
      <c r="E199" s="7" t="s">
        <v>110</v>
      </c>
    </row>
    <row r="200" spans="1:5" x14ac:dyDescent="0.25">
      <c r="A200" s="6" t="s">
        <v>8</v>
      </c>
      <c r="B200" s="52">
        <f>B25</f>
        <v>97.699999999999989</v>
      </c>
      <c r="C200" s="52">
        <f>H124</f>
        <v>41494.717339999988</v>
      </c>
      <c r="D200" s="52">
        <f>G134</f>
        <v>19588.4882</v>
      </c>
      <c r="E200" s="7">
        <f>D144</f>
        <v>21906.229139999989</v>
      </c>
    </row>
    <row r="201" spans="1:5" x14ac:dyDescent="0.25">
      <c r="A201" s="6" t="s">
        <v>9</v>
      </c>
      <c r="B201" s="52">
        <f t="shared" ref="B201:B204" si="54">B26</f>
        <v>95.167000000000002</v>
      </c>
      <c r="C201" s="52">
        <f t="shared" ref="C201:C204" si="55">H125</f>
        <v>41153.529304000003</v>
      </c>
      <c r="D201" s="52">
        <f t="shared" ref="D201:D204" si="56">G135</f>
        <v>19264.662</v>
      </c>
      <c r="E201" s="7">
        <f t="shared" ref="E201:E204" si="57">D145</f>
        <v>21888.867304000003</v>
      </c>
    </row>
    <row r="202" spans="1:5" x14ac:dyDescent="0.25">
      <c r="A202" s="6" t="s">
        <v>10</v>
      </c>
      <c r="B202" s="52">
        <f t="shared" si="54"/>
        <v>104.42873999999998</v>
      </c>
      <c r="C202" s="52">
        <f t="shared" si="55"/>
        <v>45212.464773999985</v>
      </c>
      <c r="D202" s="52">
        <f t="shared" si="56"/>
        <v>19396.364464999999</v>
      </c>
      <c r="E202" s="7">
        <f t="shared" si="57"/>
        <v>25816.100308999987</v>
      </c>
    </row>
    <row r="203" spans="1:5" x14ac:dyDescent="0.25">
      <c r="A203" s="6" t="s">
        <v>11</v>
      </c>
      <c r="B203" s="52">
        <f t="shared" si="54"/>
        <v>103.57142896750003</v>
      </c>
      <c r="C203" s="52">
        <f t="shared" si="55"/>
        <v>45860.056233938762</v>
      </c>
      <c r="D203" s="52">
        <f t="shared" si="56"/>
        <v>19034.285736750004</v>
      </c>
      <c r="E203" s="7">
        <f t="shared" si="57"/>
        <v>26825.770497188758</v>
      </c>
    </row>
    <row r="204" spans="1:5" x14ac:dyDescent="0.25">
      <c r="A204" s="8" t="s">
        <v>146</v>
      </c>
      <c r="B204" s="9">
        <f t="shared" si="54"/>
        <v>92.46079242015</v>
      </c>
      <c r="C204" s="9">
        <f t="shared" si="55"/>
        <v>42716.941630547975</v>
      </c>
      <c r="D204" s="9">
        <f t="shared" si="56"/>
        <v>17434.354072014998</v>
      </c>
      <c r="E204" s="11">
        <f t="shared" si="57"/>
        <v>25282.587558532978</v>
      </c>
    </row>
    <row r="205" spans="1:5" x14ac:dyDescent="0.25">
      <c r="A205" s="14" t="s">
        <v>145</v>
      </c>
      <c r="B205" s="20" t="s">
        <v>147</v>
      </c>
      <c r="C205" s="20" t="s">
        <v>115</v>
      </c>
      <c r="D205" s="20" t="s">
        <v>111</v>
      </c>
      <c r="E205" s="21" t="s">
        <v>110</v>
      </c>
    </row>
    <row r="206" spans="1:5" x14ac:dyDescent="0.25">
      <c r="A206" s="6" t="s">
        <v>8</v>
      </c>
      <c r="B206" s="52">
        <v>97.699999999999989</v>
      </c>
      <c r="C206" s="52">
        <v>41494.717339999988</v>
      </c>
      <c r="D206" s="52">
        <v>19588.4882</v>
      </c>
      <c r="E206" s="7">
        <v>21906.229139999989</v>
      </c>
    </row>
    <row r="207" spans="1:5" x14ac:dyDescent="0.25">
      <c r="A207" s="6" t="s">
        <v>9</v>
      </c>
      <c r="B207" s="52">
        <v>95.167000000000002</v>
      </c>
      <c r="C207" s="52">
        <v>41153.529304000003</v>
      </c>
      <c r="D207" s="52">
        <v>19264.662</v>
      </c>
      <c r="E207" s="7">
        <v>21888.867304000003</v>
      </c>
    </row>
    <row r="208" spans="1:5" x14ac:dyDescent="0.25">
      <c r="A208" s="6" t="s">
        <v>10</v>
      </c>
      <c r="B208" s="52">
        <v>104.42873999999998</v>
      </c>
      <c r="C208" s="52">
        <v>45212.464773999985</v>
      </c>
      <c r="D208" s="52">
        <v>19396.364464999999</v>
      </c>
      <c r="E208" s="7">
        <v>25816.100308999987</v>
      </c>
    </row>
    <row r="209" spans="1:5" x14ac:dyDescent="0.25">
      <c r="A209" s="6" t="s">
        <v>11</v>
      </c>
      <c r="B209" s="52">
        <v>103.57142896750003</v>
      </c>
      <c r="C209" s="52">
        <v>45860.056233938762</v>
      </c>
      <c r="D209" s="52">
        <v>19034.285736750004</v>
      </c>
      <c r="E209" s="7">
        <v>26825.770497188758</v>
      </c>
    </row>
    <row r="210" spans="1:5" x14ac:dyDescent="0.25">
      <c r="A210" s="8" t="s">
        <v>146</v>
      </c>
      <c r="B210" s="9">
        <v>92.46079242015</v>
      </c>
      <c r="C210" s="9">
        <v>42716.941630547975</v>
      </c>
      <c r="D210" s="9">
        <v>17434.354072014998</v>
      </c>
      <c r="E210" s="11">
        <v>25282.587558532978</v>
      </c>
    </row>
  </sheetData>
  <mergeCells count="9">
    <mergeCell ref="B35:E35"/>
    <mergeCell ref="H35:K35"/>
    <mergeCell ref="B4:E4"/>
    <mergeCell ref="F23:G23"/>
    <mergeCell ref="E3:F3"/>
    <mergeCell ref="G3:P3"/>
    <mergeCell ref="A34:F34"/>
    <mergeCell ref="H34:K34"/>
    <mergeCell ref="M23:N2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EC57D-9765-4894-B3E1-45553BA59442}">
  <sheetPr codeName="Sheet2"/>
  <dimension ref="A1:H134"/>
  <sheetViews>
    <sheetView showGridLines="0" workbookViewId="0"/>
  </sheetViews>
  <sheetFormatPr defaultRowHeight="15.75" x14ac:dyDescent="0.25"/>
  <cols>
    <col min="1" max="1" width="2.125" customWidth="1"/>
    <col min="2" max="2" width="7.125" bestFit="1" customWidth="1"/>
    <col min="3" max="3" width="55.5" bestFit="1" customWidth="1"/>
    <col min="4" max="4" width="11.875" bestFit="1" customWidth="1"/>
    <col min="5" max="5" width="12.5" bestFit="1" customWidth="1"/>
    <col min="6" max="8" width="11.875" bestFit="1" customWidth="1"/>
  </cols>
  <sheetData>
    <row r="1" spans="1:8" x14ac:dyDescent="0.25">
      <c r="A1" s="3" t="s">
        <v>149</v>
      </c>
    </row>
    <row r="2" spans="1:8" x14ac:dyDescent="0.25">
      <c r="A2" s="3" t="s">
        <v>150</v>
      </c>
    </row>
    <row r="3" spans="1:8" x14ac:dyDescent="0.25">
      <c r="A3" s="3" t="s">
        <v>151</v>
      </c>
    </row>
    <row r="6" spans="1:8" ht="16.5" thickBot="1" x14ac:dyDescent="0.3">
      <c r="A6" t="s">
        <v>152</v>
      </c>
    </row>
    <row r="7" spans="1:8" x14ac:dyDescent="0.25">
      <c r="B7" s="49"/>
      <c r="C7" s="49"/>
      <c r="D7" s="49" t="s">
        <v>155</v>
      </c>
      <c r="E7" s="49" t="s">
        <v>157</v>
      </c>
      <c r="F7" s="49" t="s">
        <v>159</v>
      </c>
      <c r="G7" s="49" t="s">
        <v>161</v>
      </c>
      <c r="H7" s="49" t="s">
        <v>161</v>
      </c>
    </row>
    <row r="8" spans="1:8" ht="16.5" thickBot="1" x14ac:dyDescent="0.3">
      <c r="B8" s="50" t="s">
        <v>153</v>
      </c>
      <c r="C8" s="50" t="s">
        <v>154</v>
      </c>
      <c r="D8" s="50" t="s">
        <v>156</v>
      </c>
      <c r="E8" s="50" t="s">
        <v>158</v>
      </c>
      <c r="F8" s="50" t="s">
        <v>160</v>
      </c>
      <c r="G8" s="50" t="s">
        <v>162</v>
      </c>
      <c r="H8" s="50" t="s">
        <v>163</v>
      </c>
    </row>
    <row r="9" spans="1:8" x14ac:dyDescent="0.25">
      <c r="B9" s="47" t="s">
        <v>169</v>
      </c>
      <c r="C9" s="47" t="s">
        <v>170</v>
      </c>
      <c r="D9" s="47">
        <v>30.934999999999988</v>
      </c>
      <c r="E9" s="47">
        <v>0</v>
      </c>
      <c r="F9" s="47">
        <v>40</v>
      </c>
      <c r="G9" s="47">
        <v>91.687139360004295</v>
      </c>
      <c r="H9" s="47">
        <v>23.312860639995712</v>
      </c>
    </row>
    <row r="10" spans="1:8" x14ac:dyDescent="0.25">
      <c r="B10" s="47" t="s">
        <v>171</v>
      </c>
      <c r="C10" s="47" t="s">
        <v>172</v>
      </c>
      <c r="D10" s="47">
        <v>22.800000000000011</v>
      </c>
      <c r="E10" s="47">
        <v>0</v>
      </c>
      <c r="F10" s="47">
        <v>662.78820150000683</v>
      </c>
      <c r="G10" s="47">
        <v>23.312860639995712</v>
      </c>
      <c r="H10" s="47">
        <v>91.687139360004295</v>
      </c>
    </row>
    <row r="11" spans="1:8" x14ac:dyDescent="0.25">
      <c r="B11" s="47" t="s">
        <v>173</v>
      </c>
      <c r="C11" s="47" t="s">
        <v>174</v>
      </c>
      <c r="D11" s="47">
        <v>40.75742343886035</v>
      </c>
      <c r="E11" s="47">
        <v>0</v>
      </c>
      <c r="F11" s="47">
        <v>40</v>
      </c>
      <c r="G11" s="47">
        <v>6.3458230000024214</v>
      </c>
      <c r="H11" s="47">
        <v>21.451176999997326</v>
      </c>
    </row>
    <row r="12" spans="1:8" x14ac:dyDescent="0.25">
      <c r="B12" s="47" t="s">
        <v>175</v>
      </c>
      <c r="C12" s="47" t="s">
        <v>176</v>
      </c>
      <c r="D12" s="47">
        <v>11.584426561139662</v>
      </c>
      <c r="E12" s="47">
        <v>0</v>
      </c>
      <c r="F12" s="47">
        <v>414.461175000004</v>
      </c>
      <c r="G12" s="47">
        <v>21.451176999997326</v>
      </c>
      <c r="H12" s="47">
        <v>6.3458230000024214</v>
      </c>
    </row>
    <row r="13" spans="1:8" x14ac:dyDescent="0.25">
      <c r="B13" s="47" t="s">
        <v>177</v>
      </c>
      <c r="C13" s="47" t="s">
        <v>178</v>
      </c>
      <c r="D13" s="47">
        <v>57.435807000000011</v>
      </c>
      <c r="E13" s="47">
        <v>0</v>
      </c>
      <c r="F13" s="47">
        <v>40</v>
      </c>
      <c r="G13" s="47">
        <v>46.966226421547603</v>
      </c>
      <c r="H13" s="47">
        <v>114.93136584341039</v>
      </c>
    </row>
    <row r="14" spans="1:8" x14ac:dyDescent="0.25">
      <c r="B14" s="47" t="s">
        <v>179</v>
      </c>
      <c r="C14" s="47" t="s">
        <v>180</v>
      </c>
      <c r="D14" s="47">
        <v>0</v>
      </c>
      <c r="E14" s="47">
        <v>-114.93136584341038</v>
      </c>
      <c r="F14" s="47">
        <v>161.06625000000349</v>
      </c>
      <c r="G14" s="47">
        <v>114.93136584341038</v>
      </c>
      <c r="H14" s="47">
        <v>1E+30</v>
      </c>
    </row>
    <row r="15" spans="1:8" x14ac:dyDescent="0.25">
      <c r="B15" s="47" t="s">
        <v>181</v>
      </c>
      <c r="C15" s="47" t="s">
        <v>182</v>
      </c>
      <c r="D15" s="47">
        <v>56.964285714285801</v>
      </c>
      <c r="E15" s="47">
        <v>0</v>
      </c>
      <c r="F15" s="47">
        <v>40</v>
      </c>
      <c r="G15" s="47">
        <v>43.215667590022271</v>
      </c>
      <c r="H15" s="47">
        <v>12.784332409977168</v>
      </c>
    </row>
    <row r="16" spans="1:8" x14ac:dyDescent="0.25">
      <c r="B16" s="47" t="s">
        <v>183</v>
      </c>
      <c r="C16" s="47" t="s">
        <v>184</v>
      </c>
      <c r="D16" s="47">
        <v>0</v>
      </c>
      <c r="E16" s="47">
        <v>-237.75763825622474</v>
      </c>
      <c r="F16" s="47">
        <v>-97.5</v>
      </c>
      <c r="G16" s="47">
        <v>237.75763825622474</v>
      </c>
      <c r="H16" s="47">
        <v>1E+30</v>
      </c>
    </row>
    <row r="17" spans="2:8" x14ac:dyDescent="0.25">
      <c r="B17" s="47" t="s">
        <v>185</v>
      </c>
      <c r="C17" s="47" t="s">
        <v>186</v>
      </c>
      <c r="D17" s="47">
        <v>50.853435617600063</v>
      </c>
      <c r="E17" s="47">
        <v>0</v>
      </c>
      <c r="F17" s="47">
        <v>40</v>
      </c>
      <c r="G17" s="47">
        <v>44.097619989818313</v>
      </c>
      <c r="H17" s="47">
        <v>13.045237153037828</v>
      </c>
    </row>
    <row r="18" spans="2:8" x14ac:dyDescent="0.25">
      <c r="B18" s="47" t="s">
        <v>187</v>
      </c>
      <c r="C18" s="47" t="s">
        <v>188</v>
      </c>
      <c r="D18" s="47">
        <v>0</v>
      </c>
      <c r="E18" s="47">
        <v>-141.32820000000021</v>
      </c>
      <c r="F18" s="47">
        <v>-50</v>
      </c>
      <c r="G18" s="47">
        <v>141.32820000000021</v>
      </c>
      <c r="H18" s="47">
        <v>1E+30</v>
      </c>
    </row>
    <row r="19" spans="2:8" x14ac:dyDescent="0.25">
      <c r="B19" s="47" t="s">
        <v>189</v>
      </c>
      <c r="C19" s="47" t="s">
        <v>190</v>
      </c>
      <c r="D19" s="47">
        <v>20</v>
      </c>
      <c r="E19" s="47">
        <v>7.0000000000000036</v>
      </c>
      <c r="F19" s="47">
        <v>-15</v>
      </c>
      <c r="G19" s="47">
        <v>1E+30</v>
      </c>
      <c r="H19" s="47">
        <v>7.0000000000000036</v>
      </c>
    </row>
    <row r="20" spans="2:8" x14ac:dyDescent="0.25">
      <c r="B20" s="47" t="s">
        <v>191</v>
      </c>
      <c r="C20" s="47" t="s">
        <v>192</v>
      </c>
      <c r="D20" s="47">
        <v>0</v>
      </c>
      <c r="E20" s="47">
        <v>-11.000000000000025</v>
      </c>
      <c r="F20" s="47">
        <v>-15</v>
      </c>
      <c r="G20" s="47">
        <v>11.000000000000025</v>
      </c>
      <c r="H20" s="47">
        <v>1E+30</v>
      </c>
    </row>
    <row r="21" spans="2:8" x14ac:dyDescent="0.25">
      <c r="B21" s="47" t="s">
        <v>193</v>
      </c>
      <c r="C21" s="47" t="s">
        <v>194</v>
      </c>
      <c r="D21" s="47">
        <v>0</v>
      </c>
      <c r="E21" s="47">
        <v>-20.000000000000025</v>
      </c>
      <c r="F21" s="47">
        <v>-15</v>
      </c>
      <c r="G21" s="47">
        <v>20.000000000000025</v>
      </c>
      <c r="H21" s="47">
        <v>1E+30</v>
      </c>
    </row>
    <row r="22" spans="2:8" x14ac:dyDescent="0.25">
      <c r="B22" s="47" t="s">
        <v>195</v>
      </c>
      <c r="C22" s="47" t="s">
        <v>196</v>
      </c>
      <c r="D22" s="47">
        <v>0</v>
      </c>
      <c r="E22" s="47">
        <v>-33.500000000000014</v>
      </c>
      <c r="F22" s="47">
        <v>-15</v>
      </c>
      <c r="G22" s="47">
        <v>33.500000000000014</v>
      </c>
      <c r="H22" s="47">
        <v>1E+30</v>
      </c>
    </row>
    <row r="23" spans="2:8" x14ac:dyDescent="0.25">
      <c r="B23" s="47" t="s">
        <v>197</v>
      </c>
      <c r="C23" s="47" t="s">
        <v>198</v>
      </c>
      <c r="D23" s="47">
        <v>20</v>
      </c>
      <c r="E23" s="47">
        <v>7.0000000000000036</v>
      </c>
      <c r="F23" s="47">
        <v>-15</v>
      </c>
      <c r="G23" s="47">
        <v>1E+30</v>
      </c>
      <c r="H23" s="47">
        <v>7.0000000000000036</v>
      </c>
    </row>
    <row r="24" spans="2:8" x14ac:dyDescent="0.25">
      <c r="B24" s="47" t="s">
        <v>199</v>
      </c>
      <c r="C24" s="47" t="s">
        <v>200</v>
      </c>
      <c r="D24" s="47">
        <v>0</v>
      </c>
      <c r="E24" s="47">
        <v>-11.000000000000025</v>
      </c>
      <c r="F24" s="47">
        <v>-15</v>
      </c>
      <c r="G24" s="47">
        <v>11.000000000000025</v>
      </c>
      <c r="H24" s="47">
        <v>1E+30</v>
      </c>
    </row>
    <row r="25" spans="2:8" x14ac:dyDescent="0.25">
      <c r="B25" s="47" t="s">
        <v>201</v>
      </c>
      <c r="C25" s="47" t="s">
        <v>202</v>
      </c>
      <c r="D25" s="47">
        <v>0</v>
      </c>
      <c r="E25" s="47">
        <v>-20.000000000000025</v>
      </c>
      <c r="F25" s="47">
        <v>-15</v>
      </c>
      <c r="G25" s="47">
        <v>20.000000000000025</v>
      </c>
      <c r="H25" s="47">
        <v>1E+30</v>
      </c>
    </row>
    <row r="26" spans="2:8" x14ac:dyDescent="0.25">
      <c r="B26" s="47" t="s">
        <v>203</v>
      </c>
      <c r="C26" s="47" t="s">
        <v>204</v>
      </c>
      <c r="D26" s="47">
        <v>0</v>
      </c>
      <c r="E26" s="47">
        <v>-33.500000000000014</v>
      </c>
      <c r="F26" s="47">
        <v>-15</v>
      </c>
      <c r="G26" s="47">
        <v>33.500000000000014</v>
      </c>
      <c r="H26" s="47">
        <v>1E+30</v>
      </c>
    </row>
    <row r="27" spans="2:8" x14ac:dyDescent="0.25">
      <c r="B27" s="47" t="s">
        <v>205</v>
      </c>
      <c r="C27" s="47" t="s">
        <v>206</v>
      </c>
      <c r="D27" s="47">
        <v>20</v>
      </c>
      <c r="E27" s="47">
        <v>18.000000000000028</v>
      </c>
      <c r="F27" s="47">
        <v>-15</v>
      </c>
      <c r="G27" s="47">
        <v>1E+30</v>
      </c>
      <c r="H27" s="47">
        <v>18.000000000000028</v>
      </c>
    </row>
    <row r="28" spans="2:8" x14ac:dyDescent="0.25">
      <c r="B28" s="47" t="s">
        <v>207</v>
      </c>
      <c r="C28" s="47" t="s">
        <v>208</v>
      </c>
      <c r="D28" s="47">
        <v>3.1351795013609829</v>
      </c>
      <c r="E28" s="47">
        <v>0</v>
      </c>
      <c r="F28" s="47">
        <v>-15</v>
      </c>
      <c r="G28" s="47">
        <v>9.4581391609919638</v>
      </c>
      <c r="H28" s="47">
        <v>0.99999999997154143</v>
      </c>
    </row>
    <row r="29" spans="2:8" x14ac:dyDescent="0.25">
      <c r="B29" s="47" t="s">
        <v>209</v>
      </c>
      <c r="C29" s="47" t="s">
        <v>210</v>
      </c>
      <c r="D29" s="47">
        <v>0</v>
      </c>
      <c r="E29" s="47">
        <v>-8.9999999999999929</v>
      </c>
      <c r="F29" s="47">
        <v>-15</v>
      </c>
      <c r="G29" s="47">
        <v>8.9999999999999929</v>
      </c>
      <c r="H29" s="47">
        <v>1E+30</v>
      </c>
    </row>
    <row r="30" spans="2:8" x14ac:dyDescent="0.25">
      <c r="B30" s="47" t="s">
        <v>211</v>
      </c>
      <c r="C30" s="47" t="s">
        <v>212</v>
      </c>
      <c r="D30" s="47">
        <v>0</v>
      </c>
      <c r="E30" s="47">
        <v>-22.499999999999986</v>
      </c>
      <c r="F30" s="47">
        <v>-15</v>
      </c>
      <c r="G30" s="47">
        <v>22.499999999999986</v>
      </c>
      <c r="H30" s="47">
        <v>1E+30</v>
      </c>
    </row>
    <row r="31" spans="2:8" x14ac:dyDescent="0.25">
      <c r="B31" s="47" t="s">
        <v>213</v>
      </c>
      <c r="C31" s="47" t="s">
        <v>214</v>
      </c>
      <c r="D31" s="47">
        <v>20</v>
      </c>
      <c r="E31" s="47">
        <v>9.5112081519598295</v>
      </c>
      <c r="F31" s="47">
        <v>-15</v>
      </c>
      <c r="G31" s="47">
        <v>1E+30</v>
      </c>
      <c r="H31" s="47">
        <v>9.5112081519598295</v>
      </c>
    </row>
    <row r="32" spans="2:8" x14ac:dyDescent="0.25">
      <c r="B32" s="47" t="s">
        <v>215</v>
      </c>
      <c r="C32" s="47" t="s">
        <v>216</v>
      </c>
      <c r="D32" s="47">
        <v>0</v>
      </c>
      <c r="E32" s="47">
        <v>-8.4887918480401989</v>
      </c>
      <c r="F32" s="47">
        <v>-15</v>
      </c>
      <c r="G32" s="47">
        <v>8.4887918480401989</v>
      </c>
      <c r="H32" s="47">
        <v>1E+30</v>
      </c>
    </row>
    <row r="33" spans="2:8" x14ac:dyDescent="0.25">
      <c r="B33" s="47" t="s">
        <v>217</v>
      </c>
      <c r="C33" s="47" t="s">
        <v>218</v>
      </c>
      <c r="D33" s="47">
        <v>0</v>
      </c>
      <c r="E33" s="47">
        <v>-17.488791848040194</v>
      </c>
      <c r="F33" s="47">
        <v>-15</v>
      </c>
      <c r="G33" s="47">
        <v>17.488791848040194</v>
      </c>
      <c r="H33" s="47">
        <v>1E+30</v>
      </c>
    </row>
    <row r="34" spans="2:8" x14ac:dyDescent="0.25">
      <c r="B34" s="47" t="s">
        <v>219</v>
      </c>
      <c r="C34" s="47" t="s">
        <v>220</v>
      </c>
      <c r="D34" s="47">
        <v>0</v>
      </c>
      <c r="E34" s="47">
        <v>-30.988791848040186</v>
      </c>
      <c r="F34" s="47">
        <v>-15</v>
      </c>
      <c r="G34" s="47">
        <v>30.988791848040186</v>
      </c>
      <c r="H34" s="47">
        <v>1E+30</v>
      </c>
    </row>
    <row r="35" spans="2:8" x14ac:dyDescent="0.25">
      <c r="B35" s="47" t="s">
        <v>221</v>
      </c>
      <c r="C35" s="47" t="s">
        <v>222</v>
      </c>
      <c r="D35" s="47">
        <v>20</v>
      </c>
      <c r="E35" s="47">
        <v>7.0000000000000036</v>
      </c>
      <c r="F35" s="47">
        <v>-15</v>
      </c>
      <c r="G35" s="47">
        <v>1E+30</v>
      </c>
      <c r="H35" s="47">
        <v>7.0000000000000036</v>
      </c>
    </row>
    <row r="36" spans="2:8" x14ac:dyDescent="0.25">
      <c r="B36" s="47" t="s">
        <v>223</v>
      </c>
      <c r="C36" s="47" t="s">
        <v>224</v>
      </c>
      <c r="D36" s="47">
        <v>0</v>
      </c>
      <c r="E36" s="47">
        <v>-11.000000000000025</v>
      </c>
      <c r="F36" s="47">
        <v>-15</v>
      </c>
      <c r="G36" s="47">
        <v>11.000000000000025</v>
      </c>
      <c r="H36" s="47">
        <v>1E+30</v>
      </c>
    </row>
    <row r="37" spans="2:8" x14ac:dyDescent="0.25">
      <c r="B37" s="47" t="s">
        <v>225</v>
      </c>
      <c r="C37" s="47" t="s">
        <v>226</v>
      </c>
      <c r="D37" s="47">
        <v>0</v>
      </c>
      <c r="E37" s="47">
        <v>-20.000000000000025</v>
      </c>
      <c r="F37" s="47">
        <v>-15</v>
      </c>
      <c r="G37" s="47">
        <v>20.000000000000025</v>
      </c>
      <c r="H37" s="47">
        <v>1E+30</v>
      </c>
    </row>
    <row r="38" spans="2:8" x14ac:dyDescent="0.25">
      <c r="B38" s="47" t="s">
        <v>227</v>
      </c>
      <c r="C38" s="47" t="s">
        <v>228</v>
      </c>
      <c r="D38" s="47">
        <v>0</v>
      </c>
      <c r="E38" s="47">
        <v>-33.500000000000014</v>
      </c>
      <c r="F38" s="47">
        <v>-15</v>
      </c>
      <c r="G38" s="47">
        <v>33.500000000000014</v>
      </c>
      <c r="H38" s="47">
        <v>1E+30</v>
      </c>
    </row>
    <row r="39" spans="2:8" x14ac:dyDescent="0.25">
      <c r="B39" s="47" t="s">
        <v>229</v>
      </c>
      <c r="C39" s="47" t="s">
        <v>230</v>
      </c>
      <c r="D39" s="47">
        <v>36.61999999999999</v>
      </c>
      <c r="E39" s="47">
        <v>0</v>
      </c>
      <c r="F39" s="47">
        <v>-90</v>
      </c>
      <c r="G39" s="47">
        <v>6.363636363636366</v>
      </c>
      <c r="H39" s="47">
        <v>12.222222222222253</v>
      </c>
    </row>
    <row r="40" spans="2:8" x14ac:dyDescent="0.25">
      <c r="B40" s="47" t="s">
        <v>231</v>
      </c>
      <c r="C40" s="47" t="s">
        <v>232</v>
      </c>
      <c r="D40" s="47">
        <v>22.000000000000007</v>
      </c>
      <c r="E40" s="47">
        <v>0</v>
      </c>
      <c r="F40" s="47">
        <v>0</v>
      </c>
      <c r="G40" s="47">
        <v>12.222222222222253</v>
      </c>
      <c r="H40" s="47">
        <v>6.363636363636366</v>
      </c>
    </row>
    <row r="41" spans="2:8" x14ac:dyDescent="0.25">
      <c r="B41" s="47" t="s">
        <v>233</v>
      </c>
      <c r="C41" s="47" t="s">
        <v>234</v>
      </c>
      <c r="D41" s="47">
        <v>0</v>
      </c>
      <c r="E41" s="47">
        <v>-15</v>
      </c>
      <c r="F41" s="47">
        <v>75</v>
      </c>
      <c r="G41" s="47">
        <v>15</v>
      </c>
      <c r="H41" s="47">
        <v>1E+30</v>
      </c>
    </row>
    <row r="42" spans="2:8" x14ac:dyDescent="0.25">
      <c r="B42" s="47" t="s">
        <v>235</v>
      </c>
      <c r="C42" s="47" t="s">
        <v>230</v>
      </c>
      <c r="D42" s="47">
        <v>35.100200000000001</v>
      </c>
      <c r="E42" s="47">
        <v>0</v>
      </c>
      <c r="F42" s="47">
        <v>-90</v>
      </c>
      <c r="G42" s="47">
        <v>6.363636363636366</v>
      </c>
      <c r="H42" s="47">
        <v>12.222222222222253</v>
      </c>
    </row>
    <row r="43" spans="2:8" x14ac:dyDescent="0.25">
      <c r="B43" s="47" t="s">
        <v>236</v>
      </c>
      <c r="C43" s="47" t="s">
        <v>232</v>
      </c>
      <c r="D43" s="47">
        <v>22.000000000000004</v>
      </c>
      <c r="E43" s="47">
        <v>0</v>
      </c>
      <c r="F43" s="47">
        <v>0</v>
      </c>
      <c r="G43" s="47">
        <v>12.222222222222253</v>
      </c>
      <c r="H43" s="47">
        <v>6.363636363636366</v>
      </c>
    </row>
    <row r="44" spans="2:8" x14ac:dyDescent="0.25">
      <c r="B44" s="47" t="s">
        <v>237</v>
      </c>
      <c r="C44" s="47" t="s">
        <v>234</v>
      </c>
      <c r="D44" s="47">
        <v>0</v>
      </c>
      <c r="E44" s="47">
        <v>-15</v>
      </c>
      <c r="F44" s="47">
        <v>75</v>
      </c>
      <c r="G44" s="47">
        <v>15</v>
      </c>
      <c r="H44" s="47">
        <v>1E+30</v>
      </c>
    </row>
    <row r="45" spans="2:8" x14ac:dyDescent="0.25">
      <c r="B45" s="47" t="s">
        <v>238</v>
      </c>
      <c r="C45" s="47" t="s">
        <v>230</v>
      </c>
      <c r="D45" s="47">
        <v>37.835582448775092</v>
      </c>
      <c r="E45" s="47">
        <v>0</v>
      </c>
      <c r="F45" s="47">
        <v>-90</v>
      </c>
      <c r="G45" s="47">
        <v>1.1111111110794905</v>
      </c>
      <c r="H45" s="47">
        <v>12.222222222221504</v>
      </c>
    </row>
    <row r="46" spans="2:8" x14ac:dyDescent="0.25">
      <c r="B46" s="47" t="s">
        <v>239</v>
      </c>
      <c r="C46" s="47" t="s">
        <v>232</v>
      </c>
      <c r="D46" s="47">
        <v>24.821661551224881</v>
      </c>
      <c r="E46" s="47">
        <v>0</v>
      </c>
      <c r="F46" s="47">
        <v>0</v>
      </c>
      <c r="G46" s="47">
        <v>10.509043512213292</v>
      </c>
      <c r="H46" s="47">
        <v>1.1111111110794905</v>
      </c>
    </row>
    <row r="47" spans="2:8" x14ac:dyDescent="0.25">
      <c r="B47" s="47" t="s">
        <v>240</v>
      </c>
      <c r="C47" s="47" t="s">
        <v>234</v>
      </c>
      <c r="D47" s="47">
        <v>0</v>
      </c>
      <c r="E47" s="47">
        <v>-15</v>
      </c>
      <c r="F47" s="47">
        <v>75</v>
      </c>
      <c r="G47" s="47">
        <v>15</v>
      </c>
      <c r="H47" s="47">
        <v>1E+30</v>
      </c>
    </row>
    <row r="48" spans="2:8" x14ac:dyDescent="0.25">
      <c r="B48" s="47" t="s">
        <v>241</v>
      </c>
      <c r="C48" s="47" t="s">
        <v>230</v>
      </c>
      <c r="D48" s="47">
        <v>40.142857142857139</v>
      </c>
      <c r="E48" s="47">
        <v>0</v>
      </c>
      <c r="F48" s="47">
        <v>-90</v>
      </c>
      <c r="G48" s="47">
        <v>10.738460816728866</v>
      </c>
      <c r="H48" s="47">
        <v>11.718971375812435</v>
      </c>
    </row>
    <row r="49" spans="2:8" x14ac:dyDescent="0.25">
      <c r="B49" s="47" t="s">
        <v>242</v>
      </c>
      <c r="C49" s="47" t="s">
        <v>232</v>
      </c>
      <c r="D49" s="47">
        <v>22.000000000000004</v>
      </c>
      <c r="E49" s="47">
        <v>0</v>
      </c>
      <c r="F49" s="47">
        <v>0</v>
      </c>
      <c r="G49" s="47">
        <v>9.4319909422668875</v>
      </c>
      <c r="H49" s="47">
        <v>8.6465528654180268</v>
      </c>
    </row>
    <row r="50" spans="2:8" x14ac:dyDescent="0.25">
      <c r="B50" s="47" t="s">
        <v>243</v>
      </c>
      <c r="C50" s="47" t="s">
        <v>234</v>
      </c>
      <c r="D50" s="47">
        <v>0</v>
      </c>
      <c r="E50" s="47">
        <v>-15</v>
      </c>
      <c r="F50" s="47">
        <v>75</v>
      </c>
      <c r="G50" s="47">
        <v>15</v>
      </c>
      <c r="H50" s="47">
        <v>1E+30</v>
      </c>
    </row>
    <row r="51" spans="2:8" x14ac:dyDescent="0.25">
      <c r="B51" s="47" t="s">
        <v>244</v>
      </c>
      <c r="C51" s="47" t="s">
        <v>230</v>
      </c>
      <c r="D51" s="47">
        <v>33.476475219199997</v>
      </c>
      <c r="E51" s="47">
        <v>0</v>
      </c>
      <c r="F51" s="47">
        <v>-90</v>
      </c>
      <c r="G51" s="47">
        <v>6.363636363636366</v>
      </c>
      <c r="H51" s="47">
        <v>11.95813405695127</v>
      </c>
    </row>
    <row r="52" spans="2:8" x14ac:dyDescent="0.25">
      <c r="B52" s="47" t="s">
        <v>245</v>
      </c>
      <c r="C52" s="47" t="s">
        <v>232</v>
      </c>
      <c r="D52" s="47">
        <v>22.000000000000004</v>
      </c>
      <c r="E52" s="47">
        <v>0</v>
      </c>
      <c r="F52" s="47">
        <v>0</v>
      </c>
      <c r="G52" s="47">
        <v>12.222222222222252</v>
      </c>
      <c r="H52" s="47">
        <v>6.363636363636366</v>
      </c>
    </row>
    <row r="53" spans="2:8" x14ac:dyDescent="0.25">
      <c r="B53" s="47" t="s">
        <v>246</v>
      </c>
      <c r="C53" s="47" t="s">
        <v>234</v>
      </c>
      <c r="D53" s="47">
        <v>0</v>
      </c>
      <c r="E53" s="47">
        <v>-15</v>
      </c>
      <c r="F53" s="47">
        <v>75</v>
      </c>
      <c r="G53" s="47">
        <v>15</v>
      </c>
      <c r="H53" s="47">
        <v>1E+30</v>
      </c>
    </row>
    <row r="54" spans="2:8" x14ac:dyDescent="0.25">
      <c r="B54" s="47" t="s">
        <v>247</v>
      </c>
      <c r="C54" s="47" t="s">
        <v>248</v>
      </c>
      <c r="D54" s="47">
        <v>0</v>
      </c>
      <c r="E54" s="47">
        <v>-12</v>
      </c>
      <c r="F54" s="47">
        <v>-70</v>
      </c>
      <c r="G54" s="47">
        <v>12</v>
      </c>
      <c r="H54" s="47">
        <v>1E+30</v>
      </c>
    </row>
    <row r="55" spans="2:8" x14ac:dyDescent="0.25">
      <c r="B55" s="47" t="s">
        <v>249</v>
      </c>
      <c r="C55" s="47" t="s">
        <v>250</v>
      </c>
      <c r="D55" s="47">
        <v>68.389999999999986</v>
      </c>
      <c r="E55" s="47">
        <v>0</v>
      </c>
      <c r="F55" s="47">
        <v>0</v>
      </c>
      <c r="G55" s="47">
        <v>58</v>
      </c>
      <c r="H55" s="47">
        <v>12</v>
      </c>
    </row>
    <row r="56" spans="2:8" x14ac:dyDescent="0.25">
      <c r="B56" s="47" t="s">
        <v>251</v>
      </c>
      <c r="C56" s="47" t="s">
        <v>252</v>
      </c>
      <c r="D56" s="47">
        <v>22.763229999999936</v>
      </c>
      <c r="E56" s="47">
        <v>0</v>
      </c>
      <c r="F56" s="47">
        <v>58</v>
      </c>
      <c r="G56" s="47">
        <v>4.6666666666666687</v>
      </c>
      <c r="H56" s="47">
        <v>7.3333333333333499</v>
      </c>
    </row>
    <row r="57" spans="2:8" x14ac:dyDescent="0.25">
      <c r="B57" s="47" t="s">
        <v>253</v>
      </c>
      <c r="C57" s="47" t="s">
        <v>248</v>
      </c>
      <c r="D57" s="47">
        <v>0</v>
      </c>
      <c r="E57" s="47">
        <v>-12</v>
      </c>
      <c r="F57" s="47">
        <v>-70</v>
      </c>
      <c r="G57" s="47">
        <v>12</v>
      </c>
      <c r="H57" s="47">
        <v>1E+30</v>
      </c>
    </row>
    <row r="58" spans="2:8" x14ac:dyDescent="0.25">
      <c r="B58" s="47" t="s">
        <v>254</v>
      </c>
      <c r="C58" s="47" t="s">
        <v>250</v>
      </c>
      <c r="D58" s="47">
        <v>66.616899999999987</v>
      </c>
      <c r="E58" s="47">
        <v>0</v>
      </c>
      <c r="F58" s="47">
        <v>0</v>
      </c>
      <c r="G58" s="47">
        <v>58</v>
      </c>
      <c r="H58" s="47">
        <v>12</v>
      </c>
    </row>
    <row r="59" spans="2:8" x14ac:dyDescent="0.25">
      <c r="B59" s="47" t="s">
        <v>255</v>
      </c>
      <c r="C59" s="47" t="s">
        <v>252</v>
      </c>
      <c r="D59" s="47">
        <v>27.39149788151655</v>
      </c>
      <c r="E59" s="47">
        <v>0</v>
      </c>
      <c r="F59" s="47">
        <v>58</v>
      </c>
      <c r="G59" s="47">
        <v>4.6666666666666687</v>
      </c>
      <c r="H59" s="47">
        <v>7.3333333333333499</v>
      </c>
    </row>
    <row r="60" spans="2:8" x14ac:dyDescent="0.25">
      <c r="B60" s="47" t="s">
        <v>256</v>
      </c>
      <c r="C60" s="47" t="s">
        <v>248</v>
      </c>
      <c r="D60" s="47">
        <v>0</v>
      </c>
      <c r="E60" s="47">
        <v>-11.999999999999991</v>
      </c>
      <c r="F60" s="47">
        <v>-70</v>
      </c>
      <c r="G60" s="47">
        <v>11.999999999999991</v>
      </c>
      <c r="H60" s="47">
        <v>1E+30</v>
      </c>
    </row>
    <row r="61" spans="2:8" x14ac:dyDescent="0.25">
      <c r="B61" s="47" t="s">
        <v>257</v>
      </c>
      <c r="C61" s="47" t="s">
        <v>250</v>
      </c>
      <c r="D61" s="47">
        <v>73.10011800000008</v>
      </c>
      <c r="E61" s="47">
        <v>0</v>
      </c>
      <c r="F61" s="47">
        <v>0</v>
      </c>
      <c r="G61" s="47">
        <v>36.902035045501499</v>
      </c>
      <c r="H61" s="47">
        <v>11.999999999999993</v>
      </c>
    </row>
    <row r="62" spans="2:8" x14ac:dyDescent="0.25">
      <c r="B62" s="47" t="s">
        <v>258</v>
      </c>
      <c r="C62" s="47" t="s">
        <v>252</v>
      </c>
      <c r="D62" s="47">
        <v>24.549898035399028</v>
      </c>
      <c r="E62" s="47">
        <v>0</v>
      </c>
      <c r="F62" s="47">
        <v>58</v>
      </c>
      <c r="G62" s="47">
        <v>0.66666666664769436</v>
      </c>
      <c r="H62" s="47">
        <v>4.906046705775581</v>
      </c>
    </row>
    <row r="63" spans="2:8" x14ac:dyDescent="0.25">
      <c r="B63" s="47" t="s">
        <v>259</v>
      </c>
      <c r="C63" s="47" t="s">
        <v>248</v>
      </c>
      <c r="D63" s="47">
        <v>0</v>
      </c>
      <c r="E63" s="47">
        <v>-12</v>
      </c>
      <c r="F63" s="47">
        <v>-70</v>
      </c>
      <c r="G63" s="47">
        <v>12</v>
      </c>
      <c r="H63" s="47">
        <v>1E+30</v>
      </c>
    </row>
    <row r="64" spans="2:8" x14ac:dyDescent="0.25">
      <c r="B64" s="47" t="s">
        <v>260</v>
      </c>
      <c r="C64" s="47" t="s">
        <v>250</v>
      </c>
      <c r="D64" s="47">
        <v>72.500000000000028</v>
      </c>
      <c r="E64" s="47">
        <v>0</v>
      </c>
      <c r="F64" s="47">
        <v>0</v>
      </c>
      <c r="G64" s="47">
        <v>33.955167392160185</v>
      </c>
      <c r="H64" s="47">
        <v>10.044832607839153</v>
      </c>
    </row>
    <row r="65" spans="2:8" x14ac:dyDescent="0.25">
      <c r="B65" s="47" t="s">
        <v>261</v>
      </c>
      <c r="C65" s="47" t="s">
        <v>252</v>
      </c>
      <c r="D65" s="47">
        <v>42.142857142857054</v>
      </c>
      <c r="E65" s="47">
        <v>0</v>
      </c>
      <c r="F65" s="47">
        <v>58</v>
      </c>
      <c r="G65" s="47">
        <v>3.1960831024942795</v>
      </c>
      <c r="H65" s="47">
        <v>3.7138464335175647</v>
      </c>
    </row>
    <row r="66" spans="2:8" x14ac:dyDescent="0.25">
      <c r="B66" s="47" t="s">
        <v>262</v>
      </c>
      <c r="C66" s="47" t="s">
        <v>248</v>
      </c>
      <c r="D66" s="47">
        <v>0</v>
      </c>
      <c r="E66" s="47">
        <v>-12</v>
      </c>
      <c r="F66" s="47">
        <v>-70</v>
      </c>
      <c r="G66" s="47">
        <v>12</v>
      </c>
      <c r="H66" s="47">
        <v>1E+30</v>
      </c>
    </row>
    <row r="67" spans="2:8" x14ac:dyDescent="0.25">
      <c r="B67" s="47" t="s">
        <v>263</v>
      </c>
      <c r="C67" s="47" t="s">
        <v>250</v>
      </c>
      <c r="D67" s="47">
        <v>64.722554422400037</v>
      </c>
      <c r="E67" s="47">
        <v>0</v>
      </c>
      <c r="F67" s="47">
        <v>0</v>
      </c>
      <c r="G67" s="47">
        <v>34.648129992000356</v>
      </c>
      <c r="H67" s="47">
        <v>10.249829191672651</v>
      </c>
    </row>
    <row r="68" spans="2:8" x14ac:dyDescent="0.25">
      <c r="B68" s="47" t="s">
        <v>264</v>
      </c>
      <c r="C68" s="47" t="s">
        <v>252</v>
      </c>
      <c r="D68" s="47">
        <v>66.58625752959999</v>
      </c>
      <c r="E68" s="47">
        <v>0</v>
      </c>
      <c r="F68" s="47">
        <v>58</v>
      </c>
      <c r="G68" s="47">
        <v>3.2613092882594628</v>
      </c>
      <c r="H68" s="47">
        <v>7.3333333333333499</v>
      </c>
    </row>
    <row r="69" spans="2:8" x14ac:dyDescent="0.25">
      <c r="B69" s="47" t="s">
        <v>265</v>
      </c>
      <c r="C69" s="51" t="s">
        <v>266</v>
      </c>
      <c r="D69" s="47">
        <v>60.768819999999941</v>
      </c>
      <c r="E69" s="47">
        <v>0</v>
      </c>
      <c r="F69" s="47">
        <v>-10</v>
      </c>
      <c r="G69" s="47">
        <v>7.0000000000000036</v>
      </c>
      <c r="H69" s="47">
        <v>11.000000000000025</v>
      </c>
    </row>
    <row r="70" spans="2:8" x14ac:dyDescent="0.25">
      <c r="B70" s="47" t="s">
        <v>267</v>
      </c>
      <c r="C70" s="51" t="s">
        <v>266</v>
      </c>
      <c r="D70" s="47">
        <v>62.67226525434436</v>
      </c>
      <c r="E70" s="47">
        <v>0</v>
      </c>
      <c r="F70" s="47">
        <v>-10</v>
      </c>
      <c r="G70" s="47">
        <v>7.0000000000000036</v>
      </c>
      <c r="H70" s="47">
        <v>11.000000000000025</v>
      </c>
    </row>
    <row r="71" spans="2:8" x14ac:dyDescent="0.25">
      <c r="B71" s="47" t="s">
        <v>268</v>
      </c>
      <c r="C71" s="51" t="s">
        <v>266</v>
      </c>
      <c r="D71" s="47">
        <v>65.100010690266075</v>
      </c>
      <c r="E71" s="47">
        <v>0</v>
      </c>
      <c r="F71" s="47">
        <v>-10</v>
      </c>
      <c r="G71" s="47">
        <v>0.99999999997154154</v>
      </c>
      <c r="H71" s="47">
        <v>8.4874596878735709</v>
      </c>
    </row>
    <row r="72" spans="2:8" x14ac:dyDescent="0.25">
      <c r="B72" s="47" t="s">
        <v>269</v>
      </c>
      <c r="C72" s="51" t="s">
        <v>266</v>
      </c>
      <c r="D72" s="47">
        <v>76.428571428571374</v>
      </c>
      <c r="E72" s="47">
        <v>0</v>
      </c>
      <c r="F72" s="47">
        <v>-10</v>
      </c>
      <c r="G72" s="47">
        <v>7.0082586382861614</v>
      </c>
      <c r="H72" s="47">
        <v>6.2548992564506456</v>
      </c>
    </row>
    <row r="73" spans="2:8" x14ac:dyDescent="0.25">
      <c r="B73" s="47" t="s">
        <v>270</v>
      </c>
      <c r="C73" s="51" t="s">
        <v>266</v>
      </c>
      <c r="D73" s="47">
        <v>87.539207968000014</v>
      </c>
      <c r="E73" s="47">
        <v>0</v>
      </c>
      <c r="F73" s="47">
        <v>-10</v>
      </c>
      <c r="G73" s="47">
        <v>7.0000000000000036</v>
      </c>
      <c r="H73" s="47">
        <v>11.000000000000025</v>
      </c>
    </row>
    <row r="74" spans="2:8" x14ac:dyDescent="0.25">
      <c r="B74" s="47" t="s">
        <v>271</v>
      </c>
      <c r="C74" s="47" t="s">
        <v>272</v>
      </c>
      <c r="D74" s="47">
        <v>0</v>
      </c>
      <c r="E74" s="47">
        <v>-23.312860639995712</v>
      </c>
      <c r="F74" s="47">
        <v>-115</v>
      </c>
      <c r="G74" s="47">
        <v>23.312860639995712</v>
      </c>
      <c r="H74" s="47">
        <v>1E+30</v>
      </c>
    </row>
    <row r="75" spans="2:8" x14ac:dyDescent="0.25">
      <c r="B75" s="47" t="s">
        <v>273</v>
      </c>
      <c r="C75" s="47" t="s">
        <v>272</v>
      </c>
      <c r="D75" s="47">
        <v>0</v>
      </c>
      <c r="E75" s="47">
        <v>-92</v>
      </c>
      <c r="F75" s="47">
        <v>-92</v>
      </c>
      <c r="G75" s="47">
        <v>92</v>
      </c>
      <c r="H75" s="47">
        <v>1E+30</v>
      </c>
    </row>
    <row r="76" spans="2:8" x14ac:dyDescent="0.25">
      <c r="B76" s="47" t="s">
        <v>274</v>
      </c>
      <c r="C76" s="47" t="s">
        <v>272</v>
      </c>
      <c r="D76" s="47">
        <v>0</v>
      </c>
      <c r="E76" s="47">
        <v>-69</v>
      </c>
      <c r="F76" s="47">
        <v>-69</v>
      </c>
      <c r="G76" s="47">
        <v>69</v>
      </c>
      <c r="H76" s="47">
        <v>1E+30</v>
      </c>
    </row>
    <row r="77" spans="2:8" x14ac:dyDescent="0.25">
      <c r="B77" s="47" t="s">
        <v>275</v>
      </c>
      <c r="C77" s="47" t="s">
        <v>272</v>
      </c>
      <c r="D77" s="47">
        <v>0</v>
      </c>
      <c r="E77" s="47">
        <v>-46</v>
      </c>
      <c r="F77" s="47">
        <v>-46</v>
      </c>
      <c r="G77" s="47">
        <v>46</v>
      </c>
      <c r="H77" s="47">
        <v>1E+30</v>
      </c>
    </row>
    <row r="78" spans="2:8" x14ac:dyDescent="0.25">
      <c r="B78" s="47" t="s">
        <v>276</v>
      </c>
      <c r="C78" s="47" t="s">
        <v>272</v>
      </c>
      <c r="D78" s="47">
        <v>0</v>
      </c>
      <c r="E78" s="47">
        <v>-23</v>
      </c>
      <c r="F78" s="47">
        <v>-23</v>
      </c>
      <c r="G78" s="47">
        <v>23</v>
      </c>
      <c r="H78" s="47">
        <v>1E+30</v>
      </c>
    </row>
    <row r="79" spans="2:8" x14ac:dyDescent="0.25">
      <c r="B79" s="47" t="s">
        <v>277</v>
      </c>
      <c r="C79" s="47" t="s">
        <v>278</v>
      </c>
      <c r="D79" s="47">
        <v>0</v>
      </c>
      <c r="E79" s="47">
        <v>-1.1999999999970896</v>
      </c>
      <c r="F79" s="47">
        <v>-1.1999999999970896</v>
      </c>
      <c r="G79" s="47">
        <v>1.1999999999970896</v>
      </c>
      <c r="H79" s="47">
        <v>1E+30</v>
      </c>
    </row>
    <row r="80" spans="2:8" x14ac:dyDescent="0.25">
      <c r="B80" s="47" t="s">
        <v>279</v>
      </c>
      <c r="C80" s="47" t="s">
        <v>278</v>
      </c>
      <c r="D80" s="47">
        <v>0</v>
      </c>
      <c r="E80" s="47">
        <v>-1.1999999999970896</v>
      </c>
      <c r="F80" s="47">
        <v>-1.1999999999970896</v>
      </c>
      <c r="G80" s="47">
        <v>1.1999999999970896</v>
      </c>
      <c r="H80" s="47">
        <v>1E+30</v>
      </c>
    </row>
    <row r="81" spans="1:8" x14ac:dyDescent="0.25">
      <c r="B81" s="47" t="s">
        <v>280</v>
      </c>
      <c r="C81" s="47" t="s">
        <v>278</v>
      </c>
      <c r="D81" s="47">
        <v>0</v>
      </c>
      <c r="E81" s="47">
        <v>-9.9999999997154143E-2</v>
      </c>
      <c r="F81" s="47">
        <v>-1.1999999999970896</v>
      </c>
      <c r="G81" s="47">
        <v>9.9999999997154143E-2</v>
      </c>
      <c r="H81" s="47">
        <v>1E+30</v>
      </c>
    </row>
    <row r="82" spans="1:8" x14ac:dyDescent="0.25">
      <c r="B82" s="47" t="s">
        <v>281</v>
      </c>
      <c r="C82" s="47" t="s">
        <v>278</v>
      </c>
      <c r="D82" s="47">
        <v>0</v>
      </c>
      <c r="E82" s="47">
        <v>-0.94887918480110633</v>
      </c>
      <c r="F82" s="47">
        <v>-1.1999999999970896</v>
      </c>
      <c r="G82" s="47">
        <v>0.94887918480110633</v>
      </c>
      <c r="H82" s="47">
        <v>1E+30</v>
      </c>
    </row>
    <row r="83" spans="1:8" ht="16.5" thickBot="1" x14ac:dyDescent="0.3">
      <c r="B83" s="48" t="s">
        <v>282</v>
      </c>
      <c r="C83" s="48" t="s">
        <v>278</v>
      </c>
      <c r="D83" s="48">
        <v>0</v>
      </c>
      <c r="E83" s="48">
        <v>-1.2000000000116415</v>
      </c>
      <c r="F83" s="48">
        <v>-1.2000000000116415</v>
      </c>
      <c r="G83" s="48">
        <v>1.2000000000116415</v>
      </c>
      <c r="H83" s="48">
        <v>1E+30</v>
      </c>
    </row>
    <row r="85" spans="1:8" ht="16.5" thickBot="1" x14ac:dyDescent="0.3">
      <c r="A85" t="s">
        <v>164</v>
      </c>
    </row>
    <row r="86" spans="1:8" x14ac:dyDescent="0.25">
      <c r="B86" s="49"/>
      <c r="C86" s="49"/>
      <c r="D86" s="49" t="s">
        <v>155</v>
      </c>
      <c r="E86" s="49" t="s">
        <v>165</v>
      </c>
      <c r="F86" s="49" t="s">
        <v>167</v>
      </c>
      <c r="G86" s="49" t="s">
        <v>161</v>
      </c>
      <c r="H86" s="49" t="s">
        <v>161</v>
      </c>
    </row>
    <row r="87" spans="1:8" ht="16.5" thickBot="1" x14ac:dyDescent="0.3">
      <c r="B87" s="50" t="s">
        <v>153</v>
      </c>
      <c r="C87" s="50" t="s">
        <v>154</v>
      </c>
      <c r="D87" s="50" t="s">
        <v>156</v>
      </c>
      <c r="E87" s="50" t="s">
        <v>166</v>
      </c>
      <c r="F87" s="50" t="s">
        <v>168</v>
      </c>
      <c r="G87" s="50" t="s">
        <v>162</v>
      </c>
      <c r="H87" s="50" t="s">
        <v>163</v>
      </c>
    </row>
    <row r="88" spans="1:8" x14ac:dyDescent="0.25">
      <c r="B88" s="47" t="s">
        <v>283</v>
      </c>
      <c r="C88" s="47" t="s">
        <v>284</v>
      </c>
      <c r="D88" s="47">
        <v>130</v>
      </c>
      <c r="E88" s="47">
        <v>91.687139360004295</v>
      </c>
      <c r="F88" s="47">
        <v>0</v>
      </c>
      <c r="G88" s="47">
        <v>5.1663735413518079</v>
      </c>
      <c r="H88" s="47">
        <v>1.271957331898117</v>
      </c>
    </row>
    <row r="89" spans="1:8" x14ac:dyDescent="0.25">
      <c r="B89" s="47" t="s">
        <v>285</v>
      </c>
      <c r="C89" s="47" t="s">
        <v>286</v>
      </c>
      <c r="D89" s="47">
        <v>128.41142656113968</v>
      </c>
      <c r="E89" s="47">
        <v>0</v>
      </c>
      <c r="F89" s="47">
        <v>0</v>
      </c>
      <c r="G89" s="47">
        <v>1E+30</v>
      </c>
      <c r="H89" s="47">
        <v>1.5885734388602644</v>
      </c>
    </row>
    <row r="90" spans="1:8" x14ac:dyDescent="0.25">
      <c r="B90" s="47" t="s">
        <v>287</v>
      </c>
      <c r="C90" s="47" t="s">
        <v>288</v>
      </c>
      <c r="D90" s="47">
        <v>115.43394523308267</v>
      </c>
      <c r="E90" s="47">
        <v>0</v>
      </c>
      <c r="F90" s="47">
        <v>0</v>
      </c>
      <c r="G90" s="47">
        <v>1E+30</v>
      </c>
      <c r="H90" s="47">
        <v>14.566054766917215</v>
      </c>
    </row>
    <row r="91" spans="1:8" x14ac:dyDescent="0.25">
      <c r="B91" s="47" t="s">
        <v>289</v>
      </c>
      <c r="C91" s="47" t="s">
        <v>290</v>
      </c>
      <c r="D91" s="47">
        <v>103.57142857142858</v>
      </c>
      <c r="E91" s="47">
        <v>0</v>
      </c>
      <c r="F91" s="47">
        <v>0</v>
      </c>
      <c r="G91" s="47">
        <v>1E+30</v>
      </c>
      <c r="H91" s="47">
        <v>26.428571428571377</v>
      </c>
    </row>
    <row r="92" spans="1:8" x14ac:dyDescent="0.25">
      <c r="B92" s="47" t="s">
        <v>291</v>
      </c>
      <c r="C92" s="47" t="s">
        <v>292</v>
      </c>
      <c r="D92" s="47">
        <v>92.460792031999986</v>
      </c>
      <c r="E92" s="47">
        <v>0</v>
      </c>
      <c r="F92" s="47">
        <v>0</v>
      </c>
      <c r="G92" s="47">
        <v>1E+30</v>
      </c>
      <c r="H92" s="47">
        <v>37.539207967999921</v>
      </c>
    </row>
    <row r="93" spans="1:8" x14ac:dyDescent="0.25">
      <c r="B93" s="47" t="s">
        <v>293</v>
      </c>
      <c r="C93" s="47" t="s">
        <v>294</v>
      </c>
      <c r="D93" s="47">
        <v>21906.229139999992</v>
      </c>
      <c r="E93" s="47">
        <v>0</v>
      </c>
      <c r="F93" s="47">
        <v>0</v>
      </c>
      <c r="G93" s="47">
        <v>21906.229139999992</v>
      </c>
      <c r="H93" s="47">
        <v>1E+30</v>
      </c>
    </row>
    <row r="94" spans="1:8" x14ac:dyDescent="0.25">
      <c r="B94" s="47" t="s">
        <v>295</v>
      </c>
      <c r="C94" s="47" t="s">
        <v>296</v>
      </c>
      <c r="D94" s="47">
        <v>21888.867334081948</v>
      </c>
      <c r="E94" s="47">
        <v>0</v>
      </c>
      <c r="F94" s="47">
        <v>0</v>
      </c>
      <c r="G94" s="47">
        <v>21888.867334081948</v>
      </c>
      <c r="H94" s="47">
        <v>1E+30</v>
      </c>
    </row>
    <row r="95" spans="1:8" x14ac:dyDescent="0.25">
      <c r="B95" s="47" t="s">
        <v>297</v>
      </c>
      <c r="C95" s="47" t="s">
        <v>298</v>
      </c>
      <c r="D95" s="47">
        <v>25816.100294586169</v>
      </c>
      <c r="E95" s="47">
        <v>0</v>
      </c>
      <c r="F95" s="47">
        <v>0</v>
      </c>
      <c r="G95" s="47">
        <v>25816.100294586253</v>
      </c>
      <c r="H95" s="47">
        <v>1E+30</v>
      </c>
    </row>
    <row r="96" spans="1:8" x14ac:dyDescent="0.25">
      <c r="B96" s="47" t="s">
        <v>299</v>
      </c>
      <c r="C96" s="47" t="s">
        <v>300</v>
      </c>
      <c r="D96" s="47">
        <v>26825.770363428572</v>
      </c>
      <c r="E96" s="47">
        <v>0</v>
      </c>
      <c r="F96" s="47">
        <v>0</v>
      </c>
      <c r="G96" s="47">
        <v>26825.770363428535</v>
      </c>
      <c r="H96" s="47">
        <v>1E+30</v>
      </c>
    </row>
    <row r="97" spans="2:8" x14ac:dyDescent="0.25">
      <c r="B97" s="47" t="s">
        <v>301</v>
      </c>
      <c r="C97" s="47" t="s">
        <v>302</v>
      </c>
      <c r="D97" s="47">
        <v>25282.587385340805</v>
      </c>
      <c r="E97" s="47">
        <v>0</v>
      </c>
      <c r="F97" s="47">
        <v>0</v>
      </c>
      <c r="G97" s="47">
        <v>25282.587385340878</v>
      </c>
      <c r="H97" s="47">
        <v>1E+30</v>
      </c>
    </row>
    <row r="98" spans="2:8" x14ac:dyDescent="0.25">
      <c r="B98" s="47" t="s">
        <v>303</v>
      </c>
      <c r="C98" s="47" t="s">
        <v>304</v>
      </c>
      <c r="D98" s="47">
        <v>58.61999999999999</v>
      </c>
      <c r="E98" s="47">
        <v>90</v>
      </c>
      <c r="F98" s="47">
        <v>0</v>
      </c>
      <c r="G98" s="47">
        <v>36.61999999999999</v>
      </c>
      <c r="H98" s="47">
        <v>243.40254599999992</v>
      </c>
    </row>
    <row r="99" spans="2:8" x14ac:dyDescent="0.25">
      <c r="B99" s="47" t="s">
        <v>305</v>
      </c>
      <c r="C99" s="47" t="s">
        <v>306</v>
      </c>
      <c r="D99" s="47">
        <v>57.100200000000001</v>
      </c>
      <c r="E99" s="47">
        <v>90</v>
      </c>
      <c r="F99" s="47">
        <v>0</v>
      </c>
      <c r="G99" s="47">
        <v>35.100200000000001</v>
      </c>
      <c r="H99" s="47">
        <v>243.20963704535498</v>
      </c>
    </row>
    <row r="100" spans="2:8" x14ac:dyDescent="0.25">
      <c r="B100" s="47" t="s">
        <v>307</v>
      </c>
      <c r="C100" s="47" t="s">
        <v>308</v>
      </c>
      <c r="D100" s="47">
        <v>62.657243999999992</v>
      </c>
      <c r="E100" s="47">
        <v>90</v>
      </c>
      <c r="F100" s="47">
        <v>0</v>
      </c>
      <c r="G100" s="47">
        <v>37.835582448775092</v>
      </c>
      <c r="H100" s="47">
        <v>286.84555882873616</v>
      </c>
    </row>
    <row r="101" spans="2:8" x14ac:dyDescent="0.25">
      <c r="B101" s="47" t="s">
        <v>309</v>
      </c>
      <c r="C101" s="47" t="s">
        <v>310</v>
      </c>
      <c r="D101" s="47">
        <v>62.142857142857146</v>
      </c>
      <c r="E101" s="47">
        <v>90</v>
      </c>
      <c r="F101" s="47">
        <v>0</v>
      </c>
      <c r="G101" s="47">
        <v>40.142857142857139</v>
      </c>
      <c r="H101" s="47">
        <v>298.06411514920597</v>
      </c>
    </row>
    <row r="102" spans="2:8" x14ac:dyDescent="0.25">
      <c r="B102" s="47" t="s">
        <v>311</v>
      </c>
      <c r="C102" s="47" t="s">
        <v>312</v>
      </c>
      <c r="D102" s="47">
        <v>55.47647521919999</v>
      </c>
      <c r="E102" s="47">
        <v>90</v>
      </c>
      <c r="F102" s="47">
        <v>0</v>
      </c>
      <c r="G102" s="47">
        <v>33.476475219199997</v>
      </c>
      <c r="H102" s="47">
        <v>280.91763761489864</v>
      </c>
    </row>
    <row r="103" spans="2:8" x14ac:dyDescent="0.25">
      <c r="B103" s="47" t="s">
        <v>313</v>
      </c>
      <c r="C103" s="47" t="s">
        <v>314</v>
      </c>
      <c r="D103" s="47">
        <v>68.389999999999986</v>
      </c>
      <c r="E103" s="47">
        <v>58</v>
      </c>
      <c r="F103" s="47">
        <v>0</v>
      </c>
      <c r="G103" s="47">
        <v>68.389999999999986</v>
      </c>
      <c r="H103" s="47">
        <v>22.763229999999936</v>
      </c>
    </row>
    <row r="104" spans="2:8" x14ac:dyDescent="0.25">
      <c r="B104" s="47" t="s">
        <v>315</v>
      </c>
      <c r="C104" s="47" t="s">
        <v>316</v>
      </c>
      <c r="D104" s="47">
        <v>66.616900000000001</v>
      </c>
      <c r="E104" s="47">
        <v>58</v>
      </c>
      <c r="F104" s="47">
        <v>0</v>
      </c>
      <c r="G104" s="47">
        <v>66.616899999999987</v>
      </c>
      <c r="H104" s="47">
        <v>27.39149788151655</v>
      </c>
    </row>
    <row r="105" spans="2:8" x14ac:dyDescent="0.25">
      <c r="B105" s="47" t="s">
        <v>317</v>
      </c>
      <c r="C105" s="47" t="s">
        <v>318</v>
      </c>
      <c r="D105" s="47">
        <v>73.100117999999995</v>
      </c>
      <c r="E105" s="47">
        <v>58</v>
      </c>
      <c r="F105" s="47">
        <v>0</v>
      </c>
      <c r="G105" s="47">
        <v>73.100118000000094</v>
      </c>
      <c r="H105" s="47">
        <v>24.549898035399028</v>
      </c>
    </row>
    <row r="106" spans="2:8" x14ac:dyDescent="0.25">
      <c r="B106" s="47" t="s">
        <v>319</v>
      </c>
      <c r="C106" s="47" t="s">
        <v>320</v>
      </c>
      <c r="D106" s="47">
        <v>72.5</v>
      </c>
      <c r="E106" s="47">
        <v>58</v>
      </c>
      <c r="F106" s="47">
        <v>0</v>
      </c>
      <c r="G106" s="47">
        <v>72.500000000000028</v>
      </c>
      <c r="H106" s="47">
        <v>42.142857142857054</v>
      </c>
    </row>
    <row r="107" spans="2:8" x14ac:dyDescent="0.25">
      <c r="B107" s="47" t="s">
        <v>321</v>
      </c>
      <c r="C107" s="47" t="s">
        <v>322</v>
      </c>
      <c r="D107" s="47">
        <v>64.72255442239998</v>
      </c>
      <c r="E107" s="47">
        <v>58</v>
      </c>
      <c r="F107" s="47">
        <v>0</v>
      </c>
      <c r="G107" s="47">
        <v>64.722554422400037</v>
      </c>
      <c r="H107" s="47">
        <v>66.58625752959999</v>
      </c>
    </row>
    <row r="108" spans="2:8" x14ac:dyDescent="0.25">
      <c r="B108" s="47" t="s">
        <v>323</v>
      </c>
      <c r="C108" s="47" t="s">
        <v>324</v>
      </c>
      <c r="D108" s="47">
        <v>53.734999999999999</v>
      </c>
      <c r="E108" s="47">
        <v>-40</v>
      </c>
      <c r="F108" s="47">
        <v>0</v>
      </c>
      <c r="G108" s="47">
        <v>30.934999999999988</v>
      </c>
      <c r="H108" s="47">
        <v>1E+30</v>
      </c>
    </row>
    <row r="109" spans="2:8" x14ac:dyDescent="0.25">
      <c r="B109" s="47" t="s">
        <v>325</v>
      </c>
      <c r="C109" s="47" t="s">
        <v>326</v>
      </c>
      <c r="D109" s="47">
        <v>52.341850000000008</v>
      </c>
      <c r="E109" s="47">
        <v>-40</v>
      </c>
      <c r="F109" s="47">
        <v>0</v>
      </c>
      <c r="G109" s="47">
        <v>40.75742343886035</v>
      </c>
      <c r="H109" s="47">
        <v>1E+30</v>
      </c>
    </row>
    <row r="110" spans="2:8" x14ac:dyDescent="0.25">
      <c r="B110" s="47" t="s">
        <v>327</v>
      </c>
      <c r="C110" s="47" t="s">
        <v>328</v>
      </c>
      <c r="D110" s="47">
        <v>57.435806999999997</v>
      </c>
      <c r="E110" s="47">
        <v>-40</v>
      </c>
      <c r="F110" s="47">
        <v>0</v>
      </c>
      <c r="G110" s="47">
        <v>57.435807000000011</v>
      </c>
      <c r="H110" s="47">
        <v>1E+30</v>
      </c>
    </row>
    <row r="111" spans="2:8" x14ac:dyDescent="0.25">
      <c r="B111" s="47" t="s">
        <v>329</v>
      </c>
      <c r="C111" s="47" t="s">
        <v>330</v>
      </c>
      <c r="D111" s="47">
        <v>56.964285714285722</v>
      </c>
      <c r="E111" s="47">
        <v>-40</v>
      </c>
      <c r="F111" s="47">
        <v>0</v>
      </c>
      <c r="G111" s="47">
        <v>56.964285714285801</v>
      </c>
      <c r="H111" s="47">
        <v>1E+30</v>
      </c>
    </row>
    <row r="112" spans="2:8" x14ac:dyDescent="0.25">
      <c r="B112" s="47" t="s">
        <v>331</v>
      </c>
      <c r="C112" s="47" t="s">
        <v>332</v>
      </c>
      <c r="D112" s="47">
        <v>50.853435617599999</v>
      </c>
      <c r="E112" s="47">
        <v>-40</v>
      </c>
      <c r="F112" s="47">
        <v>0</v>
      </c>
      <c r="G112" s="47">
        <v>50.853435617600063</v>
      </c>
      <c r="H112" s="47">
        <v>1E+30</v>
      </c>
    </row>
    <row r="113" spans="2:8" x14ac:dyDescent="0.25">
      <c r="B113" s="47" t="s">
        <v>333</v>
      </c>
      <c r="C113" s="47" t="s">
        <v>334</v>
      </c>
      <c r="D113" s="47">
        <v>199.99999999999994</v>
      </c>
      <c r="E113" s="47">
        <v>77.000000000000014</v>
      </c>
      <c r="F113" s="47">
        <v>200</v>
      </c>
      <c r="G113" s="47">
        <v>10.202608571428645</v>
      </c>
      <c r="H113" s="47">
        <v>15.175486666666623</v>
      </c>
    </row>
    <row r="114" spans="2:8" x14ac:dyDescent="0.25">
      <c r="B114" s="47" t="s">
        <v>335</v>
      </c>
      <c r="C114" s="47" t="s">
        <v>336</v>
      </c>
      <c r="D114" s="47">
        <v>200.00000000000006</v>
      </c>
      <c r="E114" s="47">
        <v>77.000000000000014</v>
      </c>
      <c r="F114" s="47">
        <v>200</v>
      </c>
      <c r="G114" s="47">
        <v>15.223572916270156</v>
      </c>
      <c r="H114" s="47">
        <v>18.260998587677701</v>
      </c>
    </row>
    <row r="115" spans="2:8" x14ac:dyDescent="0.25">
      <c r="B115" s="47" t="s">
        <v>337</v>
      </c>
      <c r="C115" s="47" t="s">
        <v>338</v>
      </c>
      <c r="D115" s="47">
        <v>199.99999999999994</v>
      </c>
      <c r="E115" s="47">
        <v>61.59999999999998</v>
      </c>
      <c r="F115" s="47">
        <v>200</v>
      </c>
      <c r="G115" s="47">
        <v>19.189157499027871</v>
      </c>
      <c r="H115" s="47">
        <v>2.2394139295435593</v>
      </c>
    </row>
    <row r="116" spans="2:8" x14ac:dyDescent="0.25">
      <c r="B116" s="47" t="s">
        <v>339</v>
      </c>
      <c r="C116" s="47" t="s">
        <v>340</v>
      </c>
      <c r="D116" s="47">
        <v>199.99999999999994</v>
      </c>
      <c r="E116" s="47">
        <v>73.484308587256251</v>
      </c>
      <c r="F116" s="47">
        <v>200</v>
      </c>
      <c r="G116" s="47">
        <v>20.909889942856839</v>
      </c>
      <c r="H116" s="47">
        <v>2.8673750571427425</v>
      </c>
    </row>
    <row r="117" spans="2:8" x14ac:dyDescent="0.25">
      <c r="B117" s="47" t="s">
        <v>341</v>
      </c>
      <c r="C117" s="47" t="s">
        <v>342</v>
      </c>
      <c r="D117" s="47">
        <v>200</v>
      </c>
      <c r="E117" s="47">
        <v>77.000000000000014</v>
      </c>
      <c r="F117" s="47">
        <v>200</v>
      </c>
      <c r="G117" s="47">
        <v>22.221273078856889</v>
      </c>
      <c r="H117" s="47">
        <v>44.390838353066663</v>
      </c>
    </row>
    <row r="118" spans="2:8" x14ac:dyDescent="0.25">
      <c r="B118" s="47" t="s">
        <v>343</v>
      </c>
      <c r="C118" s="47" t="s">
        <v>344</v>
      </c>
      <c r="D118" s="47">
        <v>92.460792031999986</v>
      </c>
      <c r="E118" s="47">
        <v>0</v>
      </c>
      <c r="F118" s="47">
        <v>175</v>
      </c>
      <c r="G118" s="47">
        <v>1E+30</v>
      </c>
      <c r="H118" s="47">
        <v>82.539207967999985</v>
      </c>
    </row>
    <row r="119" spans="2:8" x14ac:dyDescent="0.25">
      <c r="B119" s="47" t="s">
        <v>343</v>
      </c>
      <c r="C119" s="47" t="s">
        <v>344</v>
      </c>
      <c r="D119" s="47">
        <v>92.460792031999986</v>
      </c>
      <c r="E119" s="47">
        <v>0</v>
      </c>
      <c r="F119" s="47">
        <v>50</v>
      </c>
      <c r="G119" s="47">
        <v>42.460792031999993</v>
      </c>
      <c r="H119" s="47">
        <v>1E+30</v>
      </c>
    </row>
    <row r="120" spans="2:8" x14ac:dyDescent="0.25">
      <c r="B120" s="47" t="s">
        <v>345</v>
      </c>
      <c r="C120" s="47" t="s">
        <v>346</v>
      </c>
      <c r="D120" s="47">
        <v>5357.1634799999993</v>
      </c>
      <c r="E120" s="47">
        <v>0</v>
      </c>
      <c r="F120" s="47">
        <v>0</v>
      </c>
      <c r="G120" s="47">
        <v>1E+30</v>
      </c>
      <c r="H120" s="47">
        <v>142.83652000000103</v>
      </c>
    </row>
    <row r="121" spans="2:8" x14ac:dyDescent="0.25">
      <c r="B121" s="47" t="s">
        <v>347</v>
      </c>
      <c r="C121" s="47" t="s">
        <v>348</v>
      </c>
      <c r="D121" s="47">
        <v>5286.8699791722183</v>
      </c>
      <c r="E121" s="47">
        <v>0</v>
      </c>
      <c r="F121" s="47">
        <v>0</v>
      </c>
      <c r="G121" s="47">
        <v>1E+30</v>
      </c>
      <c r="H121" s="47">
        <v>213.13002082778218</v>
      </c>
    </row>
    <row r="122" spans="2:8" x14ac:dyDescent="0.25">
      <c r="B122" s="47" t="s">
        <v>349</v>
      </c>
      <c r="C122" s="47" t="s">
        <v>350</v>
      </c>
      <c r="D122" s="47">
        <v>5499.9999999999945</v>
      </c>
      <c r="E122" s="47">
        <v>1.0999999999999353</v>
      </c>
      <c r="F122" s="47">
        <v>0</v>
      </c>
      <c r="G122" s="47">
        <v>31.351795013609827</v>
      </c>
      <c r="H122" s="47">
        <v>163.66598690266019</v>
      </c>
    </row>
    <row r="123" spans="2:8" x14ac:dyDescent="0.25">
      <c r="B123" s="47" t="s">
        <v>351</v>
      </c>
      <c r="C123" s="47" t="s">
        <v>352</v>
      </c>
      <c r="D123" s="47">
        <v>5500</v>
      </c>
      <c r="E123" s="47">
        <v>0.25112081519598328</v>
      </c>
      <c r="F123" s="47">
        <v>0</v>
      </c>
      <c r="G123" s="47">
        <v>40.143250799998391</v>
      </c>
      <c r="H123" s="47">
        <v>292.73845919999576</v>
      </c>
    </row>
    <row r="124" spans="2:8" x14ac:dyDescent="0.25">
      <c r="B124" s="47" t="s">
        <v>353</v>
      </c>
      <c r="C124" s="47" t="s">
        <v>354</v>
      </c>
      <c r="D124" s="47">
        <v>5188.9021768959992</v>
      </c>
      <c r="E124" s="47">
        <v>0</v>
      </c>
      <c r="F124" s="47">
        <v>0</v>
      </c>
      <c r="G124" s="47">
        <v>1E+30</v>
      </c>
      <c r="H124" s="47">
        <v>311.09782310399646</v>
      </c>
    </row>
    <row r="125" spans="2:8" x14ac:dyDescent="0.25">
      <c r="B125" s="47" t="s">
        <v>355</v>
      </c>
      <c r="C125" s="47" t="s">
        <v>356</v>
      </c>
      <c r="D125" s="47">
        <v>22.000000000000007</v>
      </c>
      <c r="E125" s="47">
        <v>90</v>
      </c>
      <c r="F125" s="47">
        <v>0</v>
      </c>
      <c r="G125" s="47">
        <v>36.61999999999999</v>
      </c>
      <c r="H125" s="47">
        <v>22.000000000000007</v>
      </c>
    </row>
    <row r="126" spans="2:8" x14ac:dyDescent="0.25">
      <c r="B126" s="47" t="s">
        <v>357</v>
      </c>
      <c r="C126" s="47" t="s">
        <v>356</v>
      </c>
      <c r="D126" s="47">
        <v>22.000000000000004</v>
      </c>
      <c r="E126" s="47">
        <v>90</v>
      </c>
      <c r="F126" s="47">
        <v>0</v>
      </c>
      <c r="G126" s="47">
        <v>35.100200000000001</v>
      </c>
      <c r="H126" s="47">
        <v>22.000000000000004</v>
      </c>
    </row>
    <row r="127" spans="2:8" x14ac:dyDescent="0.25">
      <c r="B127" s="47" t="s">
        <v>358</v>
      </c>
      <c r="C127" s="47" t="s">
        <v>356</v>
      </c>
      <c r="D127" s="47">
        <v>24.821661551224881</v>
      </c>
      <c r="E127" s="47">
        <v>90</v>
      </c>
      <c r="F127" s="47">
        <v>0</v>
      </c>
      <c r="G127" s="47">
        <v>37.835582448775092</v>
      </c>
      <c r="H127" s="47">
        <v>24.821661551224881</v>
      </c>
    </row>
    <row r="128" spans="2:8" x14ac:dyDescent="0.25">
      <c r="B128" s="47" t="s">
        <v>359</v>
      </c>
      <c r="C128" s="47" t="s">
        <v>356</v>
      </c>
      <c r="D128" s="47">
        <v>22.000000000000004</v>
      </c>
      <c r="E128" s="47">
        <v>90</v>
      </c>
      <c r="F128" s="47">
        <v>0</v>
      </c>
      <c r="G128" s="47">
        <v>40.142857142857139</v>
      </c>
      <c r="H128" s="47">
        <v>22.000000000000004</v>
      </c>
    </row>
    <row r="129" spans="2:8" x14ac:dyDescent="0.25">
      <c r="B129" s="47" t="s">
        <v>360</v>
      </c>
      <c r="C129" s="47" t="s">
        <v>356</v>
      </c>
      <c r="D129" s="47">
        <v>22.000000000000004</v>
      </c>
      <c r="E129" s="47">
        <v>90</v>
      </c>
      <c r="F129" s="47">
        <v>0</v>
      </c>
      <c r="G129" s="47">
        <v>33.476475219199997</v>
      </c>
      <c r="H129" s="47">
        <v>22.000000000000004</v>
      </c>
    </row>
    <row r="130" spans="2:8" x14ac:dyDescent="0.25">
      <c r="B130" s="47" t="s">
        <v>361</v>
      </c>
      <c r="C130" s="47" t="s">
        <v>362</v>
      </c>
      <c r="D130" s="47">
        <v>91.153229999999922</v>
      </c>
      <c r="E130" s="47">
        <v>58</v>
      </c>
      <c r="F130" s="47">
        <v>0</v>
      </c>
      <c r="G130" s="47">
        <v>1E+30</v>
      </c>
      <c r="H130" s="47">
        <v>22.763229999999936</v>
      </c>
    </row>
    <row r="131" spans="2:8" x14ac:dyDescent="0.25">
      <c r="B131" s="47" t="s">
        <v>363</v>
      </c>
      <c r="C131" s="47" t="s">
        <v>362</v>
      </c>
      <c r="D131" s="47">
        <v>94.008397881516544</v>
      </c>
      <c r="E131" s="47">
        <v>58</v>
      </c>
      <c r="F131" s="47">
        <v>0</v>
      </c>
      <c r="G131" s="47">
        <v>1E+30</v>
      </c>
      <c r="H131" s="47">
        <v>27.39149788151655</v>
      </c>
    </row>
    <row r="132" spans="2:8" x14ac:dyDescent="0.25">
      <c r="B132" s="47" t="s">
        <v>364</v>
      </c>
      <c r="C132" s="47" t="s">
        <v>362</v>
      </c>
      <c r="D132" s="47">
        <v>97.650016035399105</v>
      </c>
      <c r="E132" s="47">
        <v>58</v>
      </c>
      <c r="F132" s="47">
        <v>0</v>
      </c>
      <c r="G132" s="47">
        <v>1E+30</v>
      </c>
      <c r="H132" s="47">
        <v>24.549898035399028</v>
      </c>
    </row>
    <row r="133" spans="2:8" x14ac:dyDescent="0.25">
      <c r="B133" s="47" t="s">
        <v>365</v>
      </c>
      <c r="C133" s="47" t="s">
        <v>362</v>
      </c>
      <c r="D133" s="47">
        <v>114.64285714285708</v>
      </c>
      <c r="E133" s="47">
        <v>58</v>
      </c>
      <c r="F133" s="47">
        <v>0</v>
      </c>
      <c r="G133" s="47">
        <v>1E+30</v>
      </c>
      <c r="H133" s="47">
        <v>42.142857142857054</v>
      </c>
    </row>
    <row r="134" spans="2:8" ht="16.5" thickBot="1" x14ac:dyDescent="0.3">
      <c r="B134" s="48" t="s">
        <v>366</v>
      </c>
      <c r="C134" s="48" t="s">
        <v>362</v>
      </c>
      <c r="D134" s="48">
        <v>131.30881195200004</v>
      </c>
      <c r="E134" s="48">
        <v>58</v>
      </c>
      <c r="F134" s="48">
        <v>0</v>
      </c>
      <c r="G134" s="48">
        <v>1E+30</v>
      </c>
      <c r="H134" s="48">
        <v>66.58625752959999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2E63C-C931-47E6-AB83-142E0835CA70}">
  <dimension ref="A1:G166"/>
  <sheetViews>
    <sheetView showGridLines="0" workbookViewId="0"/>
  </sheetViews>
  <sheetFormatPr defaultRowHeight="15.75" x14ac:dyDescent="0.25"/>
  <cols>
    <col min="1" max="1" width="2.125" customWidth="1"/>
    <col min="2" max="2" width="7.125" bestFit="1" customWidth="1"/>
    <col min="3" max="3" width="55.5" bestFit="1" customWidth="1"/>
    <col min="4" max="4" width="13" bestFit="1" customWidth="1"/>
    <col min="5" max="5" width="15.625" bestFit="1" customWidth="1"/>
    <col min="6" max="6" width="10.375" bestFit="1" customWidth="1"/>
    <col min="7" max="7" width="11.875" bestFit="1" customWidth="1"/>
  </cols>
  <sheetData>
    <row r="1" spans="1:5" x14ac:dyDescent="0.25">
      <c r="A1" s="3" t="s">
        <v>369</v>
      </c>
    </row>
    <row r="2" spans="1:5" x14ac:dyDescent="0.25">
      <c r="A2" s="3" t="s">
        <v>150</v>
      </c>
    </row>
    <row r="3" spans="1:5" x14ac:dyDescent="0.25">
      <c r="A3" s="3" t="s">
        <v>370</v>
      </c>
    </row>
    <row r="4" spans="1:5" x14ac:dyDescent="0.25">
      <c r="A4" s="3" t="s">
        <v>371</v>
      </c>
    </row>
    <row r="5" spans="1:5" x14ac:dyDescent="0.25">
      <c r="A5" s="3" t="s">
        <v>372</v>
      </c>
    </row>
    <row r="6" spans="1:5" x14ac:dyDescent="0.25">
      <c r="A6" s="3"/>
      <c r="B6" t="s">
        <v>373</v>
      </c>
    </row>
    <row r="7" spans="1:5" x14ac:dyDescent="0.25">
      <c r="A7" s="3"/>
      <c r="B7" t="s">
        <v>374</v>
      </c>
    </row>
    <row r="8" spans="1:5" x14ac:dyDescent="0.25">
      <c r="A8" s="3"/>
      <c r="B8" t="s">
        <v>375</v>
      </c>
    </row>
    <row r="9" spans="1:5" x14ac:dyDescent="0.25">
      <c r="A9" s="3" t="s">
        <v>376</v>
      </c>
    </row>
    <row r="10" spans="1:5" x14ac:dyDescent="0.25">
      <c r="B10" t="s">
        <v>377</v>
      </c>
    </row>
    <row r="11" spans="1:5" x14ac:dyDescent="0.25">
      <c r="B11" t="s">
        <v>378</v>
      </c>
    </row>
    <row r="14" spans="1:5" ht="16.5" thickBot="1" x14ac:dyDescent="0.3">
      <c r="A14" t="s">
        <v>379</v>
      </c>
    </row>
    <row r="15" spans="1:5" ht="16.5" thickBot="1" x14ac:dyDescent="0.3">
      <c r="B15" s="66" t="s">
        <v>153</v>
      </c>
      <c r="C15" s="66" t="s">
        <v>154</v>
      </c>
      <c r="D15" s="66" t="s">
        <v>380</v>
      </c>
      <c r="E15" s="66" t="s">
        <v>381</v>
      </c>
    </row>
    <row r="16" spans="1:5" ht="16.5" thickBot="1" x14ac:dyDescent="0.3">
      <c r="B16" s="48" t="s">
        <v>387</v>
      </c>
      <c r="C16" s="48" t="s">
        <v>388</v>
      </c>
      <c r="D16" s="67">
        <v>121719.55451743747</v>
      </c>
      <c r="E16" s="67">
        <v>121719.55451743747</v>
      </c>
    </row>
    <row r="19" spans="1:6" ht="16.5" thickBot="1" x14ac:dyDescent="0.3">
      <c r="A19" t="s">
        <v>152</v>
      </c>
    </row>
    <row r="20" spans="1:6" ht="16.5" thickBot="1" x14ac:dyDescent="0.3">
      <c r="B20" s="66" t="s">
        <v>153</v>
      </c>
      <c r="C20" s="66" t="s">
        <v>154</v>
      </c>
      <c r="D20" s="66" t="s">
        <v>380</v>
      </c>
      <c r="E20" s="66" t="s">
        <v>381</v>
      </c>
      <c r="F20" s="66" t="s">
        <v>382</v>
      </c>
    </row>
    <row r="21" spans="1:6" x14ac:dyDescent="0.25">
      <c r="B21" s="47" t="s">
        <v>169</v>
      </c>
      <c r="C21" s="47" t="s">
        <v>170</v>
      </c>
      <c r="D21" s="68">
        <v>30.934999999999988</v>
      </c>
      <c r="E21" s="68">
        <v>30.934999999999988</v>
      </c>
      <c r="F21" s="47" t="s">
        <v>389</v>
      </c>
    </row>
    <row r="22" spans="1:6" x14ac:dyDescent="0.25">
      <c r="B22" s="47" t="s">
        <v>171</v>
      </c>
      <c r="C22" s="47" t="s">
        <v>172</v>
      </c>
      <c r="D22" s="68">
        <v>22.800000000000011</v>
      </c>
      <c r="E22" s="68">
        <v>22.800000000000011</v>
      </c>
      <c r="F22" s="47" t="s">
        <v>389</v>
      </c>
    </row>
    <row r="23" spans="1:6" x14ac:dyDescent="0.25">
      <c r="B23" s="47" t="s">
        <v>173</v>
      </c>
      <c r="C23" s="47" t="s">
        <v>174</v>
      </c>
      <c r="D23" s="68">
        <v>40.75742343886035</v>
      </c>
      <c r="E23" s="68">
        <v>40.75742343886035</v>
      </c>
      <c r="F23" s="47" t="s">
        <v>389</v>
      </c>
    </row>
    <row r="24" spans="1:6" x14ac:dyDescent="0.25">
      <c r="B24" s="47" t="s">
        <v>175</v>
      </c>
      <c r="C24" s="47" t="s">
        <v>176</v>
      </c>
      <c r="D24" s="68">
        <v>11.584426561139656</v>
      </c>
      <c r="E24" s="68">
        <v>11.584426561139656</v>
      </c>
      <c r="F24" s="47" t="s">
        <v>389</v>
      </c>
    </row>
    <row r="25" spans="1:6" x14ac:dyDescent="0.25">
      <c r="B25" s="47" t="s">
        <v>177</v>
      </c>
      <c r="C25" s="47" t="s">
        <v>178</v>
      </c>
      <c r="D25" s="68">
        <v>57.435807000000004</v>
      </c>
      <c r="E25" s="68">
        <v>57.435807000000004</v>
      </c>
      <c r="F25" s="47" t="s">
        <v>389</v>
      </c>
    </row>
    <row r="26" spans="1:6" x14ac:dyDescent="0.25">
      <c r="B26" s="47" t="s">
        <v>179</v>
      </c>
      <c r="C26" s="47" t="s">
        <v>180</v>
      </c>
      <c r="D26" s="68">
        <v>0</v>
      </c>
      <c r="E26" s="68">
        <v>0</v>
      </c>
      <c r="F26" s="47" t="s">
        <v>389</v>
      </c>
    </row>
    <row r="27" spans="1:6" x14ac:dyDescent="0.25">
      <c r="B27" s="47" t="s">
        <v>181</v>
      </c>
      <c r="C27" s="47" t="s">
        <v>182</v>
      </c>
      <c r="D27" s="68">
        <v>56.964285714285808</v>
      </c>
      <c r="E27" s="68">
        <v>56.964285714285808</v>
      </c>
      <c r="F27" s="47" t="s">
        <v>389</v>
      </c>
    </row>
    <row r="28" spans="1:6" x14ac:dyDescent="0.25">
      <c r="B28" s="47" t="s">
        <v>183</v>
      </c>
      <c r="C28" s="47" t="s">
        <v>184</v>
      </c>
      <c r="D28" s="68">
        <v>0</v>
      </c>
      <c r="E28" s="68">
        <v>0</v>
      </c>
      <c r="F28" s="47" t="s">
        <v>389</v>
      </c>
    </row>
    <row r="29" spans="1:6" x14ac:dyDescent="0.25">
      <c r="B29" s="47" t="s">
        <v>185</v>
      </c>
      <c r="C29" s="47" t="s">
        <v>186</v>
      </c>
      <c r="D29" s="68">
        <v>50.85343561760007</v>
      </c>
      <c r="E29" s="68">
        <v>50.85343561760007</v>
      </c>
      <c r="F29" s="47" t="s">
        <v>389</v>
      </c>
    </row>
    <row r="30" spans="1:6" x14ac:dyDescent="0.25">
      <c r="B30" s="47" t="s">
        <v>187</v>
      </c>
      <c r="C30" s="47" t="s">
        <v>188</v>
      </c>
      <c r="D30" s="68">
        <v>0</v>
      </c>
      <c r="E30" s="68">
        <v>0</v>
      </c>
      <c r="F30" s="47" t="s">
        <v>389</v>
      </c>
    </row>
    <row r="31" spans="1:6" x14ac:dyDescent="0.25">
      <c r="B31" s="47" t="s">
        <v>189</v>
      </c>
      <c r="C31" s="47" t="s">
        <v>190</v>
      </c>
      <c r="D31" s="68">
        <v>20</v>
      </c>
      <c r="E31" s="68">
        <v>20</v>
      </c>
      <c r="F31" s="47" t="s">
        <v>389</v>
      </c>
    </row>
    <row r="32" spans="1:6" x14ac:dyDescent="0.25">
      <c r="B32" s="47" t="s">
        <v>191</v>
      </c>
      <c r="C32" s="47" t="s">
        <v>192</v>
      </c>
      <c r="D32" s="68">
        <v>0</v>
      </c>
      <c r="E32" s="68">
        <v>0</v>
      </c>
      <c r="F32" s="47" t="s">
        <v>389</v>
      </c>
    </row>
    <row r="33" spans="2:6" x14ac:dyDescent="0.25">
      <c r="B33" s="47" t="s">
        <v>193</v>
      </c>
      <c r="C33" s="47" t="s">
        <v>194</v>
      </c>
      <c r="D33" s="68">
        <v>0</v>
      </c>
      <c r="E33" s="68">
        <v>0</v>
      </c>
      <c r="F33" s="47" t="s">
        <v>389</v>
      </c>
    </row>
    <row r="34" spans="2:6" x14ac:dyDescent="0.25">
      <c r="B34" s="47" t="s">
        <v>195</v>
      </c>
      <c r="C34" s="47" t="s">
        <v>196</v>
      </c>
      <c r="D34" s="68">
        <v>0</v>
      </c>
      <c r="E34" s="68">
        <v>0</v>
      </c>
      <c r="F34" s="47" t="s">
        <v>389</v>
      </c>
    </row>
    <row r="35" spans="2:6" x14ac:dyDescent="0.25">
      <c r="B35" s="47" t="s">
        <v>197</v>
      </c>
      <c r="C35" s="47" t="s">
        <v>198</v>
      </c>
      <c r="D35" s="68">
        <v>20</v>
      </c>
      <c r="E35" s="68">
        <v>20</v>
      </c>
      <c r="F35" s="47" t="s">
        <v>389</v>
      </c>
    </row>
    <row r="36" spans="2:6" x14ac:dyDescent="0.25">
      <c r="B36" s="47" t="s">
        <v>199</v>
      </c>
      <c r="C36" s="47" t="s">
        <v>200</v>
      </c>
      <c r="D36" s="68">
        <v>0</v>
      </c>
      <c r="E36" s="68">
        <v>0</v>
      </c>
      <c r="F36" s="47" t="s">
        <v>389</v>
      </c>
    </row>
    <row r="37" spans="2:6" x14ac:dyDescent="0.25">
      <c r="B37" s="47" t="s">
        <v>201</v>
      </c>
      <c r="C37" s="47" t="s">
        <v>202</v>
      </c>
      <c r="D37" s="68">
        <v>0</v>
      </c>
      <c r="E37" s="68">
        <v>0</v>
      </c>
      <c r="F37" s="47" t="s">
        <v>389</v>
      </c>
    </row>
    <row r="38" spans="2:6" x14ac:dyDescent="0.25">
      <c r="B38" s="47" t="s">
        <v>203</v>
      </c>
      <c r="C38" s="47" t="s">
        <v>204</v>
      </c>
      <c r="D38" s="68">
        <v>0</v>
      </c>
      <c r="E38" s="68">
        <v>0</v>
      </c>
      <c r="F38" s="47" t="s">
        <v>389</v>
      </c>
    </row>
    <row r="39" spans="2:6" x14ac:dyDescent="0.25">
      <c r="B39" s="47" t="s">
        <v>205</v>
      </c>
      <c r="C39" s="47" t="s">
        <v>206</v>
      </c>
      <c r="D39" s="68">
        <v>20</v>
      </c>
      <c r="E39" s="68">
        <v>20</v>
      </c>
      <c r="F39" s="47" t="s">
        <v>389</v>
      </c>
    </row>
    <row r="40" spans="2:6" x14ac:dyDescent="0.25">
      <c r="B40" s="47" t="s">
        <v>207</v>
      </c>
      <c r="C40" s="47" t="s">
        <v>208</v>
      </c>
      <c r="D40" s="68">
        <v>3.1351795013609864</v>
      </c>
      <c r="E40" s="68">
        <v>3.1351795013609864</v>
      </c>
      <c r="F40" s="47" t="s">
        <v>389</v>
      </c>
    </row>
    <row r="41" spans="2:6" x14ac:dyDescent="0.25">
      <c r="B41" s="47" t="s">
        <v>209</v>
      </c>
      <c r="C41" s="47" t="s">
        <v>210</v>
      </c>
      <c r="D41" s="68">
        <v>0</v>
      </c>
      <c r="E41" s="68">
        <v>0</v>
      </c>
      <c r="F41" s="47" t="s">
        <v>389</v>
      </c>
    </row>
    <row r="42" spans="2:6" x14ac:dyDescent="0.25">
      <c r="B42" s="47" t="s">
        <v>211</v>
      </c>
      <c r="C42" s="47" t="s">
        <v>212</v>
      </c>
      <c r="D42" s="68">
        <v>0</v>
      </c>
      <c r="E42" s="68">
        <v>0</v>
      </c>
      <c r="F42" s="47" t="s">
        <v>389</v>
      </c>
    </row>
    <row r="43" spans="2:6" x14ac:dyDescent="0.25">
      <c r="B43" s="47" t="s">
        <v>213</v>
      </c>
      <c r="C43" s="47" t="s">
        <v>214</v>
      </c>
      <c r="D43" s="68">
        <v>20</v>
      </c>
      <c r="E43" s="68">
        <v>20</v>
      </c>
      <c r="F43" s="47" t="s">
        <v>389</v>
      </c>
    </row>
    <row r="44" spans="2:6" x14ac:dyDescent="0.25">
      <c r="B44" s="47" t="s">
        <v>215</v>
      </c>
      <c r="C44" s="47" t="s">
        <v>216</v>
      </c>
      <c r="D44" s="68">
        <v>0</v>
      </c>
      <c r="E44" s="68">
        <v>0</v>
      </c>
      <c r="F44" s="47" t="s">
        <v>389</v>
      </c>
    </row>
    <row r="45" spans="2:6" x14ac:dyDescent="0.25">
      <c r="B45" s="47" t="s">
        <v>217</v>
      </c>
      <c r="C45" s="47" t="s">
        <v>218</v>
      </c>
      <c r="D45" s="68">
        <v>0</v>
      </c>
      <c r="E45" s="68">
        <v>0</v>
      </c>
      <c r="F45" s="47" t="s">
        <v>389</v>
      </c>
    </row>
    <row r="46" spans="2:6" x14ac:dyDescent="0.25">
      <c r="B46" s="47" t="s">
        <v>219</v>
      </c>
      <c r="C46" s="47" t="s">
        <v>220</v>
      </c>
      <c r="D46" s="68">
        <v>0</v>
      </c>
      <c r="E46" s="68">
        <v>0</v>
      </c>
      <c r="F46" s="47" t="s">
        <v>389</v>
      </c>
    </row>
    <row r="47" spans="2:6" x14ac:dyDescent="0.25">
      <c r="B47" s="47" t="s">
        <v>221</v>
      </c>
      <c r="C47" s="47" t="s">
        <v>222</v>
      </c>
      <c r="D47" s="68">
        <v>20</v>
      </c>
      <c r="E47" s="68">
        <v>20</v>
      </c>
      <c r="F47" s="47" t="s">
        <v>389</v>
      </c>
    </row>
    <row r="48" spans="2:6" x14ac:dyDescent="0.25">
      <c r="B48" s="47" t="s">
        <v>223</v>
      </c>
      <c r="C48" s="47" t="s">
        <v>224</v>
      </c>
      <c r="D48" s="68">
        <v>0</v>
      </c>
      <c r="E48" s="68">
        <v>0</v>
      </c>
      <c r="F48" s="47" t="s">
        <v>389</v>
      </c>
    </row>
    <row r="49" spans="2:6" x14ac:dyDescent="0.25">
      <c r="B49" s="47" t="s">
        <v>225</v>
      </c>
      <c r="C49" s="47" t="s">
        <v>226</v>
      </c>
      <c r="D49" s="68">
        <v>0</v>
      </c>
      <c r="E49" s="68">
        <v>0</v>
      </c>
      <c r="F49" s="47" t="s">
        <v>389</v>
      </c>
    </row>
    <row r="50" spans="2:6" x14ac:dyDescent="0.25">
      <c r="B50" s="47" t="s">
        <v>227</v>
      </c>
      <c r="C50" s="47" t="s">
        <v>228</v>
      </c>
      <c r="D50" s="68">
        <v>0</v>
      </c>
      <c r="E50" s="68">
        <v>0</v>
      </c>
      <c r="F50" s="47" t="s">
        <v>389</v>
      </c>
    </row>
    <row r="51" spans="2:6" x14ac:dyDescent="0.25">
      <c r="B51" s="47" t="s">
        <v>229</v>
      </c>
      <c r="C51" s="47" t="s">
        <v>230</v>
      </c>
      <c r="D51" s="68">
        <v>36.61999999999999</v>
      </c>
      <c r="E51" s="68">
        <v>36.61999999999999</v>
      </c>
      <c r="F51" s="47" t="s">
        <v>389</v>
      </c>
    </row>
    <row r="52" spans="2:6" x14ac:dyDescent="0.25">
      <c r="B52" s="47" t="s">
        <v>231</v>
      </c>
      <c r="C52" s="47" t="s">
        <v>232</v>
      </c>
      <c r="D52" s="68">
        <v>22.000000000000007</v>
      </c>
      <c r="E52" s="68">
        <v>22.000000000000007</v>
      </c>
      <c r="F52" s="47" t="s">
        <v>389</v>
      </c>
    </row>
    <row r="53" spans="2:6" x14ac:dyDescent="0.25">
      <c r="B53" s="47" t="s">
        <v>233</v>
      </c>
      <c r="C53" s="47" t="s">
        <v>234</v>
      </c>
      <c r="D53" s="68">
        <v>0</v>
      </c>
      <c r="E53" s="68">
        <v>0</v>
      </c>
      <c r="F53" s="47" t="s">
        <v>389</v>
      </c>
    </row>
    <row r="54" spans="2:6" x14ac:dyDescent="0.25">
      <c r="B54" s="47" t="s">
        <v>235</v>
      </c>
      <c r="C54" s="47" t="s">
        <v>230</v>
      </c>
      <c r="D54" s="68">
        <v>35.100200000000001</v>
      </c>
      <c r="E54" s="68">
        <v>35.100200000000001</v>
      </c>
      <c r="F54" s="47" t="s">
        <v>389</v>
      </c>
    </row>
    <row r="55" spans="2:6" x14ac:dyDescent="0.25">
      <c r="B55" s="47" t="s">
        <v>236</v>
      </c>
      <c r="C55" s="47" t="s">
        <v>232</v>
      </c>
      <c r="D55" s="68">
        <v>21.999999999999996</v>
      </c>
      <c r="E55" s="68">
        <v>21.999999999999996</v>
      </c>
      <c r="F55" s="47" t="s">
        <v>389</v>
      </c>
    </row>
    <row r="56" spans="2:6" x14ac:dyDescent="0.25">
      <c r="B56" s="47" t="s">
        <v>237</v>
      </c>
      <c r="C56" s="47" t="s">
        <v>234</v>
      </c>
      <c r="D56" s="68">
        <v>0</v>
      </c>
      <c r="E56" s="68">
        <v>0</v>
      </c>
      <c r="F56" s="47" t="s">
        <v>389</v>
      </c>
    </row>
    <row r="57" spans="2:6" x14ac:dyDescent="0.25">
      <c r="B57" s="47" t="s">
        <v>238</v>
      </c>
      <c r="C57" s="47" t="s">
        <v>230</v>
      </c>
      <c r="D57" s="68">
        <v>37.835582448775099</v>
      </c>
      <c r="E57" s="68">
        <v>37.835582448775099</v>
      </c>
      <c r="F57" s="47" t="s">
        <v>389</v>
      </c>
    </row>
    <row r="58" spans="2:6" x14ac:dyDescent="0.25">
      <c r="B58" s="47" t="s">
        <v>239</v>
      </c>
      <c r="C58" s="47" t="s">
        <v>232</v>
      </c>
      <c r="D58" s="68">
        <v>24.821661551224889</v>
      </c>
      <c r="E58" s="68">
        <v>24.821661551224889</v>
      </c>
      <c r="F58" s="47" t="s">
        <v>389</v>
      </c>
    </row>
    <row r="59" spans="2:6" x14ac:dyDescent="0.25">
      <c r="B59" s="47" t="s">
        <v>240</v>
      </c>
      <c r="C59" s="47" t="s">
        <v>234</v>
      </c>
      <c r="D59" s="68">
        <v>0</v>
      </c>
      <c r="E59" s="68">
        <v>0</v>
      </c>
      <c r="F59" s="47" t="s">
        <v>389</v>
      </c>
    </row>
    <row r="60" spans="2:6" x14ac:dyDescent="0.25">
      <c r="B60" s="47" t="s">
        <v>241</v>
      </c>
      <c r="C60" s="47" t="s">
        <v>230</v>
      </c>
      <c r="D60" s="68">
        <v>40.142857142857139</v>
      </c>
      <c r="E60" s="68">
        <v>40.142857142857139</v>
      </c>
      <c r="F60" s="47" t="s">
        <v>389</v>
      </c>
    </row>
    <row r="61" spans="2:6" x14ac:dyDescent="0.25">
      <c r="B61" s="47" t="s">
        <v>242</v>
      </c>
      <c r="C61" s="47" t="s">
        <v>232</v>
      </c>
      <c r="D61" s="68">
        <v>22</v>
      </c>
      <c r="E61" s="68">
        <v>22</v>
      </c>
      <c r="F61" s="47" t="s">
        <v>389</v>
      </c>
    </row>
    <row r="62" spans="2:6" x14ac:dyDescent="0.25">
      <c r="B62" s="47" t="s">
        <v>243</v>
      </c>
      <c r="C62" s="47" t="s">
        <v>234</v>
      </c>
      <c r="D62" s="68">
        <v>0</v>
      </c>
      <c r="E62" s="68">
        <v>0</v>
      </c>
      <c r="F62" s="47" t="s">
        <v>389</v>
      </c>
    </row>
    <row r="63" spans="2:6" x14ac:dyDescent="0.25">
      <c r="B63" s="47" t="s">
        <v>244</v>
      </c>
      <c r="C63" s="47" t="s">
        <v>230</v>
      </c>
      <c r="D63" s="68">
        <v>33.476475219200005</v>
      </c>
      <c r="E63" s="68">
        <v>33.476475219200005</v>
      </c>
      <c r="F63" s="47" t="s">
        <v>389</v>
      </c>
    </row>
    <row r="64" spans="2:6" x14ac:dyDescent="0.25">
      <c r="B64" s="47" t="s">
        <v>245</v>
      </c>
      <c r="C64" s="47" t="s">
        <v>232</v>
      </c>
      <c r="D64" s="68">
        <v>22</v>
      </c>
      <c r="E64" s="68">
        <v>22</v>
      </c>
      <c r="F64" s="47" t="s">
        <v>389</v>
      </c>
    </row>
    <row r="65" spans="2:6" x14ac:dyDescent="0.25">
      <c r="B65" s="47" t="s">
        <v>246</v>
      </c>
      <c r="C65" s="47" t="s">
        <v>234</v>
      </c>
      <c r="D65" s="68">
        <v>0</v>
      </c>
      <c r="E65" s="68">
        <v>0</v>
      </c>
      <c r="F65" s="47" t="s">
        <v>389</v>
      </c>
    </row>
    <row r="66" spans="2:6" x14ac:dyDescent="0.25">
      <c r="B66" s="47" t="s">
        <v>247</v>
      </c>
      <c r="C66" s="47" t="s">
        <v>248</v>
      </c>
      <c r="D66" s="68">
        <v>0</v>
      </c>
      <c r="E66" s="68">
        <v>0</v>
      </c>
      <c r="F66" s="47" t="s">
        <v>389</v>
      </c>
    </row>
    <row r="67" spans="2:6" x14ac:dyDescent="0.25">
      <c r="B67" s="47" t="s">
        <v>249</v>
      </c>
      <c r="C67" s="47" t="s">
        <v>250</v>
      </c>
      <c r="D67" s="68">
        <v>68.389999999999986</v>
      </c>
      <c r="E67" s="68">
        <v>68.389999999999986</v>
      </c>
      <c r="F67" s="47" t="s">
        <v>389</v>
      </c>
    </row>
    <row r="68" spans="2:6" x14ac:dyDescent="0.25">
      <c r="B68" s="47" t="s">
        <v>251</v>
      </c>
      <c r="C68" s="47" t="s">
        <v>252</v>
      </c>
      <c r="D68" s="68">
        <v>22.763229999999936</v>
      </c>
      <c r="E68" s="68">
        <v>22.763229999999936</v>
      </c>
      <c r="F68" s="47" t="s">
        <v>389</v>
      </c>
    </row>
    <row r="69" spans="2:6" x14ac:dyDescent="0.25">
      <c r="B69" s="47" t="s">
        <v>253</v>
      </c>
      <c r="C69" s="47" t="s">
        <v>248</v>
      </c>
      <c r="D69" s="68">
        <v>0</v>
      </c>
      <c r="E69" s="68">
        <v>0</v>
      </c>
      <c r="F69" s="47" t="s">
        <v>389</v>
      </c>
    </row>
    <row r="70" spans="2:6" x14ac:dyDescent="0.25">
      <c r="B70" s="47" t="s">
        <v>254</v>
      </c>
      <c r="C70" s="47" t="s">
        <v>250</v>
      </c>
      <c r="D70" s="68">
        <v>66.616899999999987</v>
      </c>
      <c r="E70" s="68">
        <v>66.616899999999987</v>
      </c>
      <c r="F70" s="47" t="s">
        <v>389</v>
      </c>
    </row>
    <row r="71" spans="2:6" x14ac:dyDescent="0.25">
      <c r="B71" s="47" t="s">
        <v>255</v>
      </c>
      <c r="C71" s="47" t="s">
        <v>252</v>
      </c>
      <c r="D71" s="68">
        <v>27.391497881516543</v>
      </c>
      <c r="E71" s="68">
        <v>27.391497881516543</v>
      </c>
      <c r="F71" s="47" t="s">
        <v>389</v>
      </c>
    </row>
    <row r="72" spans="2:6" x14ac:dyDescent="0.25">
      <c r="B72" s="47" t="s">
        <v>256</v>
      </c>
      <c r="C72" s="47" t="s">
        <v>248</v>
      </c>
      <c r="D72" s="68">
        <v>0</v>
      </c>
      <c r="E72" s="68">
        <v>0</v>
      </c>
      <c r="F72" s="47" t="s">
        <v>389</v>
      </c>
    </row>
    <row r="73" spans="2:6" x14ac:dyDescent="0.25">
      <c r="B73" s="47" t="s">
        <v>257</v>
      </c>
      <c r="C73" s="47" t="s">
        <v>250</v>
      </c>
      <c r="D73" s="68">
        <v>73.10011800000008</v>
      </c>
      <c r="E73" s="68">
        <v>73.10011800000008</v>
      </c>
      <c r="F73" s="47" t="s">
        <v>389</v>
      </c>
    </row>
    <row r="74" spans="2:6" x14ac:dyDescent="0.25">
      <c r="B74" s="47" t="s">
        <v>258</v>
      </c>
      <c r="C74" s="47" t="s">
        <v>252</v>
      </c>
      <c r="D74" s="68">
        <v>24.549898035399025</v>
      </c>
      <c r="E74" s="68">
        <v>24.549898035399025</v>
      </c>
      <c r="F74" s="47" t="s">
        <v>389</v>
      </c>
    </row>
    <row r="75" spans="2:6" x14ac:dyDescent="0.25">
      <c r="B75" s="47" t="s">
        <v>259</v>
      </c>
      <c r="C75" s="47" t="s">
        <v>248</v>
      </c>
      <c r="D75" s="68">
        <v>0</v>
      </c>
      <c r="E75" s="68">
        <v>0</v>
      </c>
      <c r="F75" s="47" t="s">
        <v>389</v>
      </c>
    </row>
    <row r="76" spans="2:6" x14ac:dyDescent="0.25">
      <c r="B76" s="47" t="s">
        <v>260</v>
      </c>
      <c r="C76" s="47" t="s">
        <v>250</v>
      </c>
      <c r="D76" s="68">
        <v>72.500000000000043</v>
      </c>
      <c r="E76" s="68">
        <v>72.500000000000043</v>
      </c>
      <c r="F76" s="47" t="s">
        <v>389</v>
      </c>
    </row>
    <row r="77" spans="2:6" x14ac:dyDescent="0.25">
      <c r="B77" s="47" t="s">
        <v>261</v>
      </c>
      <c r="C77" s="47" t="s">
        <v>252</v>
      </c>
      <c r="D77" s="68">
        <v>42.142857142857068</v>
      </c>
      <c r="E77" s="68">
        <v>42.142857142857068</v>
      </c>
      <c r="F77" s="47" t="s">
        <v>389</v>
      </c>
    </row>
    <row r="78" spans="2:6" x14ac:dyDescent="0.25">
      <c r="B78" s="47" t="s">
        <v>262</v>
      </c>
      <c r="C78" s="47" t="s">
        <v>248</v>
      </c>
      <c r="D78" s="68">
        <v>0</v>
      </c>
      <c r="E78" s="68">
        <v>0</v>
      </c>
      <c r="F78" s="47" t="s">
        <v>389</v>
      </c>
    </row>
    <row r="79" spans="2:6" x14ac:dyDescent="0.25">
      <c r="B79" s="47" t="s">
        <v>263</v>
      </c>
      <c r="C79" s="47" t="s">
        <v>250</v>
      </c>
      <c r="D79" s="68">
        <v>64.722554422400037</v>
      </c>
      <c r="E79" s="68">
        <v>64.722554422400037</v>
      </c>
      <c r="F79" s="47" t="s">
        <v>389</v>
      </c>
    </row>
    <row r="80" spans="2:6" x14ac:dyDescent="0.25">
      <c r="B80" s="47" t="s">
        <v>264</v>
      </c>
      <c r="C80" s="47" t="s">
        <v>252</v>
      </c>
      <c r="D80" s="68">
        <v>66.58625752959999</v>
      </c>
      <c r="E80" s="68">
        <v>66.58625752959999</v>
      </c>
      <c r="F80" s="47" t="s">
        <v>389</v>
      </c>
    </row>
    <row r="81" spans="2:6" x14ac:dyDescent="0.25">
      <c r="B81" s="47" t="s">
        <v>265</v>
      </c>
      <c r="C81" s="51" t="s">
        <v>266</v>
      </c>
      <c r="D81" s="68">
        <v>60.768819999999941</v>
      </c>
      <c r="E81" s="68">
        <v>60.768819999999941</v>
      </c>
      <c r="F81" s="47" t="s">
        <v>389</v>
      </c>
    </row>
    <row r="82" spans="2:6" x14ac:dyDescent="0.25">
      <c r="B82" s="47" t="s">
        <v>267</v>
      </c>
      <c r="C82" s="51" t="s">
        <v>266</v>
      </c>
      <c r="D82" s="68">
        <v>62.67226525434436</v>
      </c>
      <c r="E82" s="68">
        <v>62.67226525434436</v>
      </c>
      <c r="F82" s="47" t="s">
        <v>389</v>
      </c>
    </row>
    <row r="83" spans="2:6" x14ac:dyDescent="0.25">
      <c r="B83" s="47" t="s">
        <v>268</v>
      </c>
      <c r="C83" s="51" t="s">
        <v>266</v>
      </c>
      <c r="D83" s="68">
        <v>65.100010690266075</v>
      </c>
      <c r="E83" s="68">
        <v>65.100010690266075</v>
      </c>
      <c r="F83" s="47" t="s">
        <v>389</v>
      </c>
    </row>
    <row r="84" spans="2:6" x14ac:dyDescent="0.25">
      <c r="B84" s="47" t="s">
        <v>269</v>
      </c>
      <c r="C84" s="51" t="s">
        <v>266</v>
      </c>
      <c r="D84" s="68">
        <v>76.428571428571388</v>
      </c>
      <c r="E84" s="68">
        <v>76.428571428571388</v>
      </c>
      <c r="F84" s="47" t="s">
        <v>389</v>
      </c>
    </row>
    <row r="85" spans="2:6" x14ac:dyDescent="0.25">
      <c r="B85" s="47" t="s">
        <v>270</v>
      </c>
      <c r="C85" s="51" t="s">
        <v>266</v>
      </c>
      <c r="D85" s="68">
        <v>87.539207968000028</v>
      </c>
      <c r="E85" s="68">
        <v>87.539207968000028</v>
      </c>
      <c r="F85" s="47" t="s">
        <v>389</v>
      </c>
    </row>
    <row r="86" spans="2:6" x14ac:dyDescent="0.25">
      <c r="B86" s="47" t="s">
        <v>271</v>
      </c>
      <c r="C86" s="47" t="s">
        <v>272</v>
      </c>
      <c r="D86" s="68">
        <v>0</v>
      </c>
      <c r="E86" s="68">
        <v>0</v>
      </c>
      <c r="F86" s="47" t="s">
        <v>389</v>
      </c>
    </row>
    <row r="87" spans="2:6" x14ac:dyDescent="0.25">
      <c r="B87" s="47" t="s">
        <v>273</v>
      </c>
      <c r="C87" s="47" t="s">
        <v>272</v>
      </c>
      <c r="D87" s="68">
        <v>0</v>
      </c>
      <c r="E87" s="68">
        <v>0</v>
      </c>
      <c r="F87" s="47" t="s">
        <v>389</v>
      </c>
    </row>
    <row r="88" spans="2:6" x14ac:dyDescent="0.25">
      <c r="B88" s="47" t="s">
        <v>274</v>
      </c>
      <c r="C88" s="47" t="s">
        <v>272</v>
      </c>
      <c r="D88" s="68">
        <v>0</v>
      </c>
      <c r="E88" s="68">
        <v>0</v>
      </c>
      <c r="F88" s="47" t="s">
        <v>389</v>
      </c>
    </row>
    <row r="89" spans="2:6" x14ac:dyDescent="0.25">
      <c r="B89" s="47" t="s">
        <v>275</v>
      </c>
      <c r="C89" s="47" t="s">
        <v>272</v>
      </c>
      <c r="D89" s="68">
        <v>0</v>
      </c>
      <c r="E89" s="68">
        <v>0</v>
      </c>
      <c r="F89" s="47" t="s">
        <v>389</v>
      </c>
    </row>
    <row r="90" spans="2:6" x14ac:dyDescent="0.25">
      <c r="B90" s="47" t="s">
        <v>276</v>
      </c>
      <c r="C90" s="47" t="s">
        <v>272</v>
      </c>
      <c r="D90" s="68">
        <v>0</v>
      </c>
      <c r="E90" s="68">
        <v>0</v>
      </c>
      <c r="F90" s="47" t="s">
        <v>389</v>
      </c>
    </row>
    <row r="91" spans="2:6" x14ac:dyDescent="0.25">
      <c r="B91" s="47" t="s">
        <v>277</v>
      </c>
      <c r="C91" s="47" t="s">
        <v>278</v>
      </c>
      <c r="D91" s="68">
        <v>0</v>
      </c>
      <c r="E91" s="68">
        <v>0</v>
      </c>
      <c r="F91" s="47" t="s">
        <v>389</v>
      </c>
    </row>
    <row r="92" spans="2:6" x14ac:dyDescent="0.25">
      <c r="B92" s="47" t="s">
        <v>279</v>
      </c>
      <c r="C92" s="47" t="s">
        <v>278</v>
      </c>
      <c r="D92" s="68">
        <v>0</v>
      </c>
      <c r="E92" s="68">
        <v>0</v>
      </c>
      <c r="F92" s="47" t="s">
        <v>389</v>
      </c>
    </row>
    <row r="93" spans="2:6" x14ac:dyDescent="0.25">
      <c r="B93" s="47" t="s">
        <v>280</v>
      </c>
      <c r="C93" s="47" t="s">
        <v>278</v>
      </c>
      <c r="D93" s="68">
        <v>0</v>
      </c>
      <c r="E93" s="68">
        <v>0</v>
      </c>
      <c r="F93" s="47" t="s">
        <v>389</v>
      </c>
    </row>
    <row r="94" spans="2:6" x14ac:dyDescent="0.25">
      <c r="B94" s="47" t="s">
        <v>281</v>
      </c>
      <c r="C94" s="47" t="s">
        <v>278</v>
      </c>
      <c r="D94" s="68">
        <v>0</v>
      </c>
      <c r="E94" s="68">
        <v>0</v>
      </c>
      <c r="F94" s="47" t="s">
        <v>389</v>
      </c>
    </row>
    <row r="95" spans="2:6" ht="16.5" thickBot="1" x14ac:dyDescent="0.3">
      <c r="B95" s="48" t="s">
        <v>282</v>
      </c>
      <c r="C95" s="48" t="s">
        <v>278</v>
      </c>
      <c r="D95" s="67">
        <v>0</v>
      </c>
      <c r="E95" s="67">
        <v>0</v>
      </c>
      <c r="F95" s="48" t="s">
        <v>389</v>
      </c>
    </row>
    <row r="98" spans="1:7" ht="16.5" thickBot="1" x14ac:dyDescent="0.3">
      <c r="A98" t="s">
        <v>164</v>
      </c>
    </row>
    <row r="99" spans="1:7" ht="16.5" thickBot="1" x14ac:dyDescent="0.3">
      <c r="B99" s="66" t="s">
        <v>153</v>
      </c>
      <c r="C99" s="66" t="s">
        <v>154</v>
      </c>
      <c r="D99" s="66" t="s">
        <v>383</v>
      </c>
      <c r="E99" s="66" t="s">
        <v>384</v>
      </c>
      <c r="F99" s="66" t="s">
        <v>385</v>
      </c>
      <c r="G99" s="66" t="s">
        <v>386</v>
      </c>
    </row>
    <row r="100" spans="1:7" x14ac:dyDescent="0.25">
      <c r="B100" s="47" t="s">
        <v>283</v>
      </c>
      <c r="C100" s="47" t="s">
        <v>284</v>
      </c>
      <c r="D100" s="68">
        <v>130</v>
      </c>
      <c r="E100" s="47" t="s">
        <v>390</v>
      </c>
      <c r="F100" s="47" t="s">
        <v>391</v>
      </c>
      <c r="G100" s="47">
        <v>0</v>
      </c>
    </row>
    <row r="101" spans="1:7" x14ac:dyDescent="0.25">
      <c r="B101" s="47" t="s">
        <v>285</v>
      </c>
      <c r="C101" s="47" t="s">
        <v>286</v>
      </c>
      <c r="D101" s="68">
        <v>128.41142656113968</v>
      </c>
      <c r="E101" s="47" t="s">
        <v>392</v>
      </c>
      <c r="F101" s="47" t="s">
        <v>393</v>
      </c>
      <c r="G101" s="47">
        <v>1.5885734388603225</v>
      </c>
    </row>
    <row r="102" spans="1:7" x14ac:dyDescent="0.25">
      <c r="B102" s="47" t="s">
        <v>287</v>
      </c>
      <c r="C102" s="47" t="s">
        <v>288</v>
      </c>
      <c r="D102" s="68">
        <v>115.43394523308267</v>
      </c>
      <c r="E102" s="47" t="s">
        <v>394</v>
      </c>
      <c r="F102" s="47" t="s">
        <v>393</v>
      </c>
      <c r="G102" s="47">
        <v>14.566054766917333</v>
      </c>
    </row>
    <row r="103" spans="1:7" x14ac:dyDescent="0.25">
      <c r="B103" s="47" t="s">
        <v>289</v>
      </c>
      <c r="C103" s="47" t="s">
        <v>290</v>
      </c>
      <c r="D103" s="68">
        <v>103.57142857142857</v>
      </c>
      <c r="E103" s="47" t="s">
        <v>395</v>
      </c>
      <c r="F103" s="47" t="s">
        <v>393</v>
      </c>
      <c r="G103" s="47">
        <v>26.428571428571431</v>
      </c>
    </row>
    <row r="104" spans="1:7" x14ac:dyDescent="0.25">
      <c r="B104" s="47" t="s">
        <v>291</v>
      </c>
      <c r="C104" s="47" t="s">
        <v>292</v>
      </c>
      <c r="D104" s="68">
        <v>92.460792031999986</v>
      </c>
      <c r="E104" s="47" t="s">
        <v>396</v>
      </c>
      <c r="F104" s="47" t="s">
        <v>393</v>
      </c>
      <c r="G104" s="47">
        <v>37.539207968000014</v>
      </c>
    </row>
    <row r="105" spans="1:7" x14ac:dyDescent="0.25">
      <c r="B105" s="47" t="s">
        <v>293</v>
      </c>
      <c r="C105" s="47" t="s">
        <v>294</v>
      </c>
      <c r="D105" s="68">
        <v>21906.229139999992</v>
      </c>
      <c r="E105" s="47" t="s">
        <v>397</v>
      </c>
      <c r="F105" s="47" t="s">
        <v>393</v>
      </c>
      <c r="G105" s="68">
        <v>21906.229139999992</v>
      </c>
    </row>
    <row r="106" spans="1:7" x14ac:dyDescent="0.25">
      <c r="B106" s="47" t="s">
        <v>295</v>
      </c>
      <c r="C106" s="47" t="s">
        <v>296</v>
      </c>
      <c r="D106" s="68">
        <v>21888.867334081948</v>
      </c>
      <c r="E106" s="47" t="s">
        <v>398</v>
      </c>
      <c r="F106" s="47" t="s">
        <v>393</v>
      </c>
      <c r="G106" s="68">
        <v>21888.867334081948</v>
      </c>
    </row>
    <row r="107" spans="1:7" x14ac:dyDescent="0.25">
      <c r="B107" s="47" t="s">
        <v>297</v>
      </c>
      <c r="C107" s="47" t="s">
        <v>298</v>
      </c>
      <c r="D107" s="68">
        <v>25816.100294586169</v>
      </c>
      <c r="E107" s="47" t="s">
        <v>399</v>
      </c>
      <c r="F107" s="47" t="s">
        <v>393</v>
      </c>
      <c r="G107" s="68">
        <v>25816.100294586169</v>
      </c>
    </row>
    <row r="108" spans="1:7" x14ac:dyDescent="0.25">
      <c r="B108" s="47" t="s">
        <v>299</v>
      </c>
      <c r="C108" s="47" t="s">
        <v>300</v>
      </c>
      <c r="D108" s="68">
        <v>26825.770363428575</v>
      </c>
      <c r="E108" s="47" t="s">
        <v>400</v>
      </c>
      <c r="F108" s="47" t="s">
        <v>393</v>
      </c>
      <c r="G108" s="68">
        <v>26825.770363428575</v>
      </c>
    </row>
    <row r="109" spans="1:7" x14ac:dyDescent="0.25">
      <c r="B109" s="47" t="s">
        <v>301</v>
      </c>
      <c r="C109" s="47" t="s">
        <v>302</v>
      </c>
      <c r="D109" s="68">
        <v>25282.587385340801</v>
      </c>
      <c r="E109" s="47" t="s">
        <v>401</v>
      </c>
      <c r="F109" s="47" t="s">
        <v>393</v>
      </c>
      <c r="G109" s="68">
        <v>25282.587385340801</v>
      </c>
    </row>
    <row r="110" spans="1:7" x14ac:dyDescent="0.25">
      <c r="B110" s="47" t="s">
        <v>303</v>
      </c>
      <c r="C110" s="47" t="s">
        <v>304</v>
      </c>
      <c r="D110" s="68">
        <v>58.61999999999999</v>
      </c>
      <c r="E110" s="47" t="s">
        <v>402</v>
      </c>
      <c r="F110" s="47" t="s">
        <v>391</v>
      </c>
      <c r="G110" s="47">
        <v>0</v>
      </c>
    </row>
    <row r="111" spans="1:7" x14ac:dyDescent="0.25">
      <c r="B111" s="47" t="s">
        <v>305</v>
      </c>
      <c r="C111" s="47" t="s">
        <v>306</v>
      </c>
      <c r="D111" s="68">
        <v>57.100200000000001</v>
      </c>
      <c r="E111" s="47" t="s">
        <v>403</v>
      </c>
      <c r="F111" s="47" t="s">
        <v>391</v>
      </c>
      <c r="G111" s="47">
        <v>0</v>
      </c>
    </row>
    <row r="112" spans="1:7" x14ac:dyDescent="0.25">
      <c r="B112" s="47" t="s">
        <v>307</v>
      </c>
      <c r="C112" s="47" t="s">
        <v>308</v>
      </c>
      <c r="D112" s="68">
        <v>62.657243999999992</v>
      </c>
      <c r="E112" s="47" t="s">
        <v>404</v>
      </c>
      <c r="F112" s="47" t="s">
        <v>391</v>
      </c>
      <c r="G112" s="47">
        <v>0</v>
      </c>
    </row>
    <row r="113" spans="2:7" x14ac:dyDescent="0.25">
      <c r="B113" s="47" t="s">
        <v>309</v>
      </c>
      <c r="C113" s="47" t="s">
        <v>310</v>
      </c>
      <c r="D113" s="68">
        <v>62.142857142857139</v>
      </c>
      <c r="E113" s="47" t="s">
        <v>405</v>
      </c>
      <c r="F113" s="47" t="s">
        <v>391</v>
      </c>
      <c r="G113" s="47">
        <v>0</v>
      </c>
    </row>
    <row r="114" spans="2:7" x14ac:dyDescent="0.25">
      <c r="B114" s="47" t="s">
        <v>311</v>
      </c>
      <c r="C114" s="47" t="s">
        <v>312</v>
      </c>
      <c r="D114" s="68">
        <v>55.47647521919999</v>
      </c>
      <c r="E114" s="47" t="s">
        <v>406</v>
      </c>
      <c r="F114" s="47" t="s">
        <v>391</v>
      </c>
      <c r="G114" s="47">
        <v>0</v>
      </c>
    </row>
    <row r="115" spans="2:7" x14ac:dyDescent="0.25">
      <c r="B115" s="47" t="s">
        <v>313</v>
      </c>
      <c r="C115" s="47" t="s">
        <v>314</v>
      </c>
      <c r="D115" s="68">
        <v>68.389999999999986</v>
      </c>
      <c r="E115" s="47" t="s">
        <v>407</v>
      </c>
      <c r="F115" s="47" t="s">
        <v>391</v>
      </c>
      <c r="G115" s="47">
        <v>0</v>
      </c>
    </row>
    <row r="116" spans="2:7" x14ac:dyDescent="0.25">
      <c r="B116" s="47" t="s">
        <v>315</v>
      </c>
      <c r="C116" s="47" t="s">
        <v>316</v>
      </c>
      <c r="D116" s="68">
        <v>66.616900000000001</v>
      </c>
      <c r="E116" s="47" t="s">
        <v>408</v>
      </c>
      <c r="F116" s="47" t="s">
        <v>391</v>
      </c>
      <c r="G116" s="47">
        <v>0</v>
      </c>
    </row>
    <row r="117" spans="2:7" x14ac:dyDescent="0.25">
      <c r="B117" s="47" t="s">
        <v>317</v>
      </c>
      <c r="C117" s="47" t="s">
        <v>318</v>
      </c>
      <c r="D117" s="68">
        <v>73.100117999999995</v>
      </c>
      <c r="E117" s="47" t="s">
        <v>409</v>
      </c>
      <c r="F117" s="47" t="s">
        <v>391</v>
      </c>
      <c r="G117" s="47">
        <v>0</v>
      </c>
    </row>
    <row r="118" spans="2:7" x14ac:dyDescent="0.25">
      <c r="B118" s="47" t="s">
        <v>319</v>
      </c>
      <c r="C118" s="47" t="s">
        <v>320</v>
      </c>
      <c r="D118" s="68">
        <v>72.5</v>
      </c>
      <c r="E118" s="47" t="s">
        <v>410</v>
      </c>
      <c r="F118" s="47" t="s">
        <v>391</v>
      </c>
      <c r="G118" s="47">
        <v>0</v>
      </c>
    </row>
    <row r="119" spans="2:7" x14ac:dyDescent="0.25">
      <c r="B119" s="47" t="s">
        <v>321</v>
      </c>
      <c r="C119" s="47" t="s">
        <v>322</v>
      </c>
      <c r="D119" s="68">
        <v>64.72255442239998</v>
      </c>
      <c r="E119" s="47" t="s">
        <v>411</v>
      </c>
      <c r="F119" s="47" t="s">
        <v>391</v>
      </c>
      <c r="G119" s="47">
        <v>0</v>
      </c>
    </row>
    <row r="120" spans="2:7" x14ac:dyDescent="0.25">
      <c r="B120" s="47" t="s">
        <v>323</v>
      </c>
      <c r="C120" s="47" t="s">
        <v>324</v>
      </c>
      <c r="D120" s="68">
        <v>53.734999999999999</v>
      </c>
      <c r="E120" s="47" t="s">
        <v>412</v>
      </c>
      <c r="F120" s="47" t="s">
        <v>391</v>
      </c>
      <c r="G120" s="47">
        <v>0</v>
      </c>
    </row>
    <row r="121" spans="2:7" x14ac:dyDescent="0.25">
      <c r="B121" s="47" t="s">
        <v>325</v>
      </c>
      <c r="C121" s="47" t="s">
        <v>326</v>
      </c>
      <c r="D121" s="68">
        <v>52.341850000000008</v>
      </c>
      <c r="E121" s="47" t="s">
        <v>413</v>
      </c>
      <c r="F121" s="47" t="s">
        <v>391</v>
      </c>
      <c r="G121" s="47">
        <v>0</v>
      </c>
    </row>
    <row r="122" spans="2:7" x14ac:dyDescent="0.25">
      <c r="B122" s="47" t="s">
        <v>327</v>
      </c>
      <c r="C122" s="47" t="s">
        <v>328</v>
      </c>
      <c r="D122" s="68">
        <v>57.435806999999997</v>
      </c>
      <c r="E122" s="47" t="s">
        <v>414</v>
      </c>
      <c r="F122" s="47" t="s">
        <v>391</v>
      </c>
      <c r="G122" s="47">
        <v>0</v>
      </c>
    </row>
    <row r="123" spans="2:7" x14ac:dyDescent="0.25">
      <c r="B123" s="47" t="s">
        <v>329</v>
      </c>
      <c r="C123" s="47" t="s">
        <v>330</v>
      </c>
      <c r="D123" s="68">
        <v>56.964285714285715</v>
      </c>
      <c r="E123" s="47" t="s">
        <v>415</v>
      </c>
      <c r="F123" s="47" t="s">
        <v>391</v>
      </c>
      <c r="G123" s="47">
        <v>0</v>
      </c>
    </row>
    <row r="124" spans="2:7" x14ac:dyDescent="0.25">
      <c r="B124" s="47" t="s">
        <v>331</v>
      </c>
      <c r="C124" s="47" t="s">
        <v>332</v>
      </c>
      <c r="D124" s="68">
        <v>50.853435617599999</v>
      </c>
      <c r="E124" s="47" t="s">
        <v>416</v>
      </c>
      <c r="F124" s="47" t="s">
        <v>391</v>
      </c>
      <c r="G124" s="47">
        <v>0</v>
      </c>
    </row>
    <row r="125" spans="2:7" x14ac:dyDescent="0.25">
      <c r="B125" s="47" t="s">
        <v>333</v>
      </c>
      <c r="C125" s="47" t="s">
        <v>334</v>
      </c>
      <c r="D125" s="68">
        <v>199.99999999999994</v>
      </c>
      <c r="E125" s="47" t="s">
        <v>417</v>
      </c>
      <c r="F125" s="47" t="s">
        <v>391</v>
      </c>
      <c r="G125" s="47">
        <v>0</v>
      </c>
    </row>
    <row r="126" spans="2:7" x14ac:dyDescent="0.25">
      <c r="B126" s="47" t="s">
        <v>335</v>
      </c>
      <c r="C126" s="47" t="s">
        <v>336</v>
      </c>
      <c r="D126" s="68">
        <v>200.00000000000006</v>
      </c>
      <c r="E126" s="47" t="s">
        <v>418</v>
      </c>
      <c r="F126" s="47" t="s">
        <v>391</v>
      </c>
      <c r="G126" s="47">
        <v>0</v>
      </c>
    </row>
    <row r="127" spans="2:7" x14ac:dyDescent="0.25">
      <c r="B127" s="47" t="s">
        <v>337</v>
      </c>
      <c r="C127" s="47" t="s">
        <v>338</v>
      </c>
      <c r="D127" s="68">
        <v>199.99999999999994</v>
      </c>
      <c r="E127" s="47" t="s">
        <v>419</v>
      </c>
      <c r="F127" s="47" t="s">
        <v>391</v>
      </c>
      <c r="G127" s="47">
        <v>0</v>
      </c>
    </row>
    <row r="128" spans="2:7" x14ac:dyDescent="0.25">
      <c r="B128" s="47" t="s">
        <v>339</v>
      </c>
      <c r="C128" s="47" t="s">
        <v>340</v>
      </c>
      <c r="D128" s="68">
        <v>199.99999999999994</v>
      </c>
      <c r="E128" s="47" t="s">
        <v>420</v>
      </c>
      <c r="F128" s="47" t="s">
        <v>391</v>
      </c>
      <c r="G128" s="47">
        <v>0</v>
      </c>
    </row>
    <row r="129" spans="2:7" x14ac:dyDescent="0.25">
      <c r="B129" s="47" t="s">
        <v>341</v>
      </c>
      <c r="C129" s="47" t="s">
        <v>342</v>
      </c>
      <c r="D129" s="68">
        <v>200</v>
      </c>
      <c r="E129" s="47" t="s">
        <v>421</v>
      </c>
      <c r="F129" s="47" t="s">
        <v>391</v>
      </c>
      <c r="G129" s="47">
        <v>0</v>
      </c>
    </row>
    <row r="130" spans="2:7" x14ac:dyDescent="0.25">
      <c r="B130" s="47" t="s">
        <v>343</v>
      </c>
      <c r="C130" s="47" t="s">
        <v>344</v>
      </c>
      <c r="D130" s="68">
        <v>92.460792031999986</v>
      </c>
      <c r="E130" s="47" t="s">
        <v>422</v>
      </c>
      <c r="F130" s="47" t="s">
        <v>393</v>
      </c>
      <c r="G130" s="47">
        <v>82.539207968000014</v>
      </c>
    </row>
    <row r="131" spans="2:7" x14ac:dyDescent="0.25">
      <c r="B131" s="47" t="s">
        <v>343</v>
      </c>
      <c r="C131" s="47" t="s">
        <v>344</v>
      </c>
      <c r="D131" s="68">
        <v>92.460792031999986</v>
      </c>
      <c r="E131" s="47" t="s">
        <v>423</v>
      </c>
      <c r="F131" s="47" t="s">
        <v>393</v>
      </c>
      <c r="G131" s="68">
        <v>42.460792031999986</v>
      </c>
    </row>
    <row r="132" spans="2:7" x14ac:dyDescent="0.25">
      <c r="B132" s="47" t="s">
        <v>345</v>
      </c>
      <c r="C132" s="47" t="s">
        <v>346</v>
      </c>
      <c r="D132" s="68">
        <v>5357.1634799999993</v>
      </c>
      <c r="E132" s="47" t="s">
        <v>424</v>
      </c>
      <c r="F132" s="47" t="s">
        <v>393</v>
      </c>
      <c r="G132" s="47">
        <v>142.83652000000075</v>
      </c>
    </row>
    <row r="133" spans="2:7" x14ac:dyDescent="0.25">
      <c r="B133" s="47" t="s">
        <v>347</v>
      </c>
      <c r="C133" s="47" t="s">
        <v>348</v>
      </c>
      <c r="D133" s="68">
        <v>5286.8699791722183</v>
      </c>
      <c r="E133" s="47" t="s">
        <v>425</v>
      </c>
      <c r="F133" s="47" t="s">
        <v>393</v>
      </c>
      <c r="G133" s="47">
        <v>213.13002082778166</v>
      </c>
    </row>
    <row r="134" spans="2:7" x14ac:dyDescent="0.25">
      <c r="B134" s="47" t="s">
        <v>349</v>
      </c>
      <c r="C134" s="47" t="s">
        <v>350</v>
      </c>
      <c r="D134" s="68">
        <v>5499.9999999999945</v>
      </c>
      <c r="E134" s="47" t="s">
        <v>426</v>
      </c>
      <c r="F134" s="47" t="s">
        <v>391</v>
      </c>
      <c r="G134" s="47">
        <v>0</v>
      </c>
    </row>
    <row r="135" spans="2:7" x14ac:dyDescent="0.25">
      <c r="B135" s="47" t="s">
        <v>351</v>
      </c>
      <c r="C135" s="47" t="s">
        <v>352</v>
      </c>
      <c r="D135" s="68">
        <v>5500</v>
      </c>
      <c r="E135" s="47" t="s">
        <v>427</v>
      </c>
      <c r="F135" s="47" t="s">
        <v>391</v>
      </c>
      <c r="G135" s="47">
        <v>0</v>
      </c>
    </row>
    <row r="136" spans="2:7" x14ac:dyDescent="0.25">
      <c r="B136" s="47" t="s">
        <v>353</v>
      </c>
      <c r="C136" s="47" t="s">
        <v>354</v>
      </c>
      <c r="D136" s="68">
        <v>5188.9021768959992</v>
      </c>
      <c r="E136" s="47" t="s">
        <v>428</v>
      </c>
      <c r="F136" s="47" t="s">
        <v>393</v>
      </c>
      <c r="G136" s="47">
        <v>311.09782310400078</v>
      </c>
    </row>
    <row r="137" spans="2:7" x14ac:dyDescent="0.25">
      <c r="B137" s="47" t="s">
        <v>355</v>
      </c>
      <c r="C137" s="47" t="s">
        <v>356</v>
      </c>
      <c r="D137" s="68">
        <v>22.000000000000007</v>
      </c>
      <c r="E137" s="47" t="s">
        <v>429</v>
      </c>
      <c r="F137" s="47" t="s">
        <v>391</v>
      </c>
      <c r="G137" s="47">
        <v>0</v>
      </c>
    </row>
    <row r="138" spans="2:7" x14ac:dyDescent="0.25">
      <c r="B138" s="47" t="s">
        <v>357</v>
      </c>
      <c r="C138" s="47" t="s">
        <v>356</v>
      </c>
      <c r="D138" s="68">
        <v>21.999999999999996</v>
      </c>
      <c r="E138" s="47" t="s">
        <v>430</v>
      </c>
      <c r="F138" s="47" t="s">
        <v>391</v>
      </c>
      <c r="G138" s="47">
        <v>0</v>
      </c>
    </row>
    <row r="139" spans="2:7" x14ac:dyDescent="0.25">
      <c r="B139" s="47" t="s">
        <v>358</v>
      </c>
      <c r="C139" s="47" t="s">
        <v>356</v>
      </c>
      <c r="D139" s="68">
        <v>24.821661551224889</v>
      </c>
      <c r="E139" s="47" t="s">
        <v>431</v>
      </c>
      <c r="F139" s="47" t="s">
        <v>391</v>
      </c>
      <c r="G139" s="47">
        <v>0</v>
      </c>
    </row>
    <row r="140" spans="2:7" x14ac:dyDescent="0.25">
      <c r="B140" s="47" t="s">
        <v>359</v>
      </c>
      <c r="C140" s="47" t="s">
        <v>356</v>
      </c>
      <c r="D140" s="68">
        <v>22</v>
      </c>
      <c r="E140" s="47" t="s">
        <v>432</v>
      </c>
      <c r="F140" s="47" t="s">
        <v>391</v>
      </c>
      <c r="G140" s="47">
        <v>0</v>
      </c>
    </row>
    <row r="141" spans="2:7" x14ac:dyDescent="0.25">
      <c r="B141" s="47" t="s">
        <v>360</v>
      </c>
      <c r="C141" s="47" t="s">
        <v>356</v>
      </c>
      <c r="D141" s="68">
        <v>22</v>
      </c>
      <c r="E141" s="47" t="s">
        <v>433</v>
      </c>
      <c r="F141" s="47" t="s">
        <v>391</v>
      </c>
      <c r="G141" s="47">
        <v>0</v>
      </c>
    </row>
    <row r="142" spans="2:7" x14ac:dyDescent="0.25">
      <c r="B142" s="47" t="s">
        <v>361</v>
      </c>
      <c r="C142" s="47" t="s">
        <v>362</v>
      </c>
      <c r="D142" s="68">
        <v>91.153229999999922</v>
      </c>
      <c r="E142" s="47" t="s">
        <v>434</v>
      </c>
      <c r="F142" s="47" t="s">
        <v>391</v>
      </c>
      <c r="G142" s="47">
        <v>0</v>
      </c>
    </row>
    <row r="143" spans="2:7" x14ac:dyDescent="0.25">
      <c r="B143" s="47" t="s">
        <v>363</v>
      </c>
      <c r="C143" s="47" t="s">
        <v>362</v>
      </c>
      <c r="D143" s="68">
        <v>94.00839788151653</v>
      </c>
      <c r="E143" s="47" t="s">
        <v>435</v>
      </c>
      <c r="F143" s="47" t="s">
        <v>391</v>
      </c>
      <c r="G143" s="47">
        <v>0</v>
      </c>
    </row>
    <row r="144" spans="2:7" x14ac:dyDescent="0.25">
      <c r="B144" s="47" t="s">
        <v>364</v>
      </c>
      <c r="C144" s="47" t="s">
        <v>362</v>
      </c>
      <c r="D144" s="68">
        <v>97.650016035399105</v>
      </c>
      <c r="E144" s="47" t="s">
        <v>436</v>
      </c>
      <c r="F144" s="47" t="s">
        <v>391</v>
      </c>
      <c r="G144" s="47">
        <v>0</v>
      </c>
    </row>
    <row r="145" spans="2:7" x14ac:dyDescent="0.25">
      <c r="B145" s="47" t="s">
        <v>365</v>
      </c>
      <c r="C145" s="47" t="s">
        <v>362</v>
      </c>
      <c r="D145" s="68">
        <v>114.64285714285711</v>
      </c>
      <c r="E145" s="47" t="s">
        <v>437</v>
      </c>
      <c r="F145" s="47" t="s">
        <v>391</v>
      </c>
      <c r="G145" s="47">
        <v>0</v>
      </c>
    </row>
    <row r="146" spans="2:7" x14ac:dyDescent="0.25">
      <c r="B146" s="47" t="s">
        <v>366</v>
      </c>
      <c r="C146" s="47" t="s">
        <v>362</v>
      </c>
      <c r="D146" s="68">
        <v>131.30881195200004</v>
      </c>
      <c r="E146" s="47" t="s">
        <v>438</v>
      </c>
      <c r="F146" s="47" t="s">
        <v>391</v>
      </c>
      <c r="G146" s="47">
        <v>0</v>
      </c>
    </row>
    <row r="147" spans="2:7" x14ac:dyDescent="0.25">
      <c r="B147" s="47" t="s">
        <v>189</v>
      </c>
      <c r="C147" s="47" t="s">
        <v>190</v>
      </c>
      <c r="D147" s="68">
        <v>20</v>
      </c>
      <c r="E147" s="47" t="s">
        <v>439</v>
      </c>
      <c r="F147" s="47" t="s">
        <v>391</v>
      </c>
      <c r="G147" s="47">
        <v>0</v>
      </c>
    </row>
    <row r="148" spans="2:7" x14ac:dyDescent="0.25">
      <c r="B148" s="47" t="s">
        <v>197</v>
      </c>
      <c r="C148" s="47" t="s">
        <v>198</v>
      </c>
      <c r="D148" s="68">
        <v>20</v>
      </c>
      <c r="E148" s="47" t="s">
        <v>440</v>
      </c>
      <c r="F148" s="47" t="s">
        <v>391</v>
      </c>
      <c r="G148" s="47">
        <v>0</v>
      </c>
    </row>
    <row r="149" spans="2:7" x14ac:dyDescent="0.25">
      <c r="B149" s="47" t="s">
        <v>205</v>
      </c>
      <c r="C149" s="47" t="s">
        <v>206</v>
      </c>
      <c r="D149" s="68">
        <v>20</v>
      </c>
      <c r="E149" s="47" t="s">
        <v>441</v>
      </c>
      <c r="F149" s="47" t="s">
        <v>391</v>
      </c>
      <c r="G149" s="47">
        <v>0</v>
      </c>
    </row>
    <row r="150" spans="2:7" x14ac:dyDescent="0.25">
      <c r="B150" s="47" t="s">
        <v>213</v>
      </c>
      <c r="C150" s="47" t="s">
        <v>214</v>
      </c>
      <c r="D150" s="68">
        <v>20</v>
      </c>
      <c r="E150" s="47" t="s">
        <v>442</v>
      </c>
      <c r="F150" s="47" t="s">
        <v>391</v>
      </c>
      <c r="G150" s="47">
        <v>0</v>
      </c>
    </row>
    <row r="151" spans="2:7" x14ac:dyDescent="0.25">
      <c r="B151" s="47" t="s">
        <v>221</v>
      </c>
      <c r="C151" s="47" t="s">
        <v>222</v>
      </c>
      <c r="D151" s="68">
        <v>20</v>
      </c>
      <c r="E151" s="47" t="s">
        <v>443</v>
      </c>
      <c r="F151" s="47" t="s">
        <v>391</v>
      </c>
      <c r="G151" s="47">
        <v>0</v>
      </c>
    </row>
    <row r="152" spans="2:7" x14ac:dyDescent="0.25">
      <c r="B152" s="47" t="s">
        <v>191</v>
      </c>
      <c r="C152" s="47" t="s">
        <v>192</v>
      </c>
      <c r="D152" s="68">
        <v>0</v>
      </c>
      <c r="E152" s="47" t="s">
        <v>444</v>
      </c>
      <c r="F152" s="47" t="s">
        <v>393</v>
      </c>
      <c r="G152" s="47">
        <v>30</v>
      </c>
    </row>
    <row r="153" spans="2:7" x14ac:dyDescent="0.25">
      <c r="B153" s="47" t="s">
        <v>199</v>
      </c>
      <c r="C153" s="47" t="s">
        <v>200</v>
      </c>
      <c r="D153" s="68">
        <v>0</v>
      </c>
      <c r="E153" s="47" t="s">
        <v>445</v>
      </c>
      <c r="F153" s="47" t="s">
        <v>393</v>
      </c>
      <c r="G153" s="47">
        <v>30</v>
      </c>
    </row>
    <row r="154" spans="2:7" x14ac:dyDescent="0.25">
      <c r="B154" s="47" t="s">
        <v>207</v>
      </c>
      <c r="C154" s="47" t="s">
        <v>208</v>
      </c>
      <c r="D154" s="68">
        <v>3.1351795013609864</v>
      </c>
      <c r="E154" s="47" t="s">
        <v>446</v>
      </c>
      <c r="F154" s="47" t="s">
        <v>393</v>
      </c>
      <c r="G154" s="47">
        <v>26.864820498639013</v>
      </c>
    </row>
    <row r="155" spans="2:7" x14ac:dyDescent="0.25">
      <c r="B155" s="47" t="s">
        <v>215</v>
      </c>
      <c r="C155" s="47" t="s">
        <v>216</v>
      </c>
      <c r="D155" s="68">
        <v>0</v>
      </c>
      <c r="E155" s="47" t="s">
        <v>447</v>
      </c>
      <c r="F155" s="47" t="s">
        <v>393</v>
      </c>
      <c r="G155" s="47">
        <v>30</v>
      </c>
    </row>
    <row r="156" spans="2:7" x14ac:dyDescent="0.25">
      <c r="B156" s="47" t="s">
        <v>223</v>
      </c>
      <c r="C156" s="47" t="s">
        <v>224</v>
      </c>
      <c r="D156" s="68">
        <v>0</v>
      </c>
      <c r="E156" s="47" t="s">
        <v>448</v>
      </c>
      <c r="F156" s="47" t="s">
        <v>393</v>
      </c>
      <c r="G156" s="47">
        <v>30</v>
      </c>
    </row>
    <row r="157" spans="2:7" x14ac:dyDescent="0.25">
      <c r="B157" s="47" t="s">
        <v>193</v>
      </c>
      <c r="C157" s="47" t="s">
        <v>194</v>
      </c>
      <c r="D157" s="68">
        <v>0</v>
      </c>
      <c r="E157" s="47" t="s">
        <v>449</v>
      </c>
      <c r="F157" s="47" t="s">
        <v>393</v>
      </c>
      <c r="G157" s="47">
        <v>20</v>
      </c>
    </row>
    <row r="158" spans="2:7" x14ac:dyDescent="0.25">
      <c r="B158" s="47" t="s">
        <v>201</v>
      </c>
      <c r="C158" s="47" t="s">
        <v>202</v>
      </c>
      <c r="D158" s="68">
        <v>0</v>
      </c>
      <c r="E158" s="47" t="s">
        <v>450</v>
      </c>
      <c r="F158" s="47" t="s">
        <v>393</v>
      </c>
      <c r="G158" s="47">
        <v>20</v>
      </c>
    </row>
    <row r="159" spans="2:7" x14ac:dyDescent="0.25">
      <c r="B159" s="47" t="s">
        <v>209</v>
      </c>
      <c r="C159" s="47" t="s">
        <v>210</v>
      </c>
      <c r="D159" s="68">
        <v>0</v>
      </c>
      <c r="E159" s="47" t="s">
        <v>451</v>
      </c>
      <c r="F159" s="47" t="s">
        <v>393</v>
      </c>
      <c r="G159" s="47">
        <v>20</v>
      </c>
    </row>
    <row r="160" spans="2:7" x14ac:dyDescent="0.25">
      <c r="B160" s="47" t="s">
        <v>217</v>
      </c>
      <c r="C160" s="47" t="s">
        <v>218</v>
      </c>
      <c r="D160" s="68">
        <v>0</v>
      </c>
      <c r="E160" s="47" t="s">
        <v>452</v>
      </c>
      <c r="F160" s="47" t="s">
        <v>393</v>
      </c>
      <c r="G160" s="47">
        <v>20</v>
      </c>
    </row>
    <row r="161" spans="2:7" x14ac:dyDescent="0.25">
      <c r="B161" s="47" t="s">
        <v>225</v>
      </c>
      <c r="C161" s="47" t="s">
        <v>226</v>
      </c>
      <c r="D161" s="68">
        <v>0</v>
      </c>
      <c r="E161" s="47" t="s">
        <v>453</v>
      </c>
      <c r="F161" s="47" t="s">
        <v>393</v>
      </c>
      <c r="G161" s="47">
        <v>20</v>
      </c>
    </row>
    <row r="162" spans="2:7" x14ac:dyDescent="0.25">
      <c r="B162" s="47" t="s">
        <v>195</v>
      </c>
      <c r="C162" s="47" t="s">
        <v>196</v>
      </c>
      <c r="D162" s="68">
        <v>0</v>
      </c>
      <c r="E162" s="47" t="s">
        <v>454</v>
      </c>
      <c r="F162" s="47" t="s">
        <v>393</v>
      </c>
      <c r="G162" s="47">
        <v>10</v>
      </c>
    </row>
    <row r="163" spans="2:7" x14ac:dyDescent="0.25">
      <c r="B163" s="47" t="s">
        <v>203</v>
      </c>
      <c r="C163" s="47" t="s">
        <v>204</v>
      </c>
      <c r="D163" s="68">
        <v>0</v>
      </c>
      <c r="E163" s="47" t="s">
        <v>455</v>
      </c>
      <c r="F163" s="47" t="s">
        <v>393</v>
      </c>
      <c r="G163" s="47">
        <v>10</v>
      </c>
    </row>
    <row r="164" spans="2:7" x14ac:dyDescent="0.25">
      <c r="B164" s="47" t="s">
        <v>211</v>
      </c>
      <c r="C164" s="47" t="s">
        <v>212</v>
      </c>
      <c r="D164" s="68">
        <v>0</v>
      </c>
      <c r="E164" s="47" t="s">
        <v>456</v>
      </c>
      <c r="F164" s="47" t="s">
        <v>393</v>
      </c>
      <c r="G164" s="47">
        <v>10</v>
      </c>
    </row>
    <row r="165" spans="2:7" x14ac:dyDescent="0.25">
      <c r="B165" s="47" t="s">
        <v>219</v>
      </c>
      <c r="C165" s="47" t="s">
        <v>220</v>
      </c>
      <c r="D165" s="68">
        <v>0</v>
      </c>
      <c r="E165" s="47" t="s">
        <v>457</v>
      </c>
      <c r="F165" s="47" t="s">
        <v>393</v>
      </c>
      <c r="G165" s="47">
        <v>10</v>
      </c>
    </row>
    <row r="166" spans="2:7" ht="16.5" thickBot="1" x14ac:dyDescent="0.3">
      <c r="B166" s="48" t="s">
        <v>227</v>
      </c>
      <c r="C166" s="48" t="s">
        <v>228</v>
      </c>
      <c r="D166" s="67">
        <v>0</v>
      </c>
      <c r="E166" s="48" t="s">
        <v>458</v>
      </c>
      <c r="F166" s="48" t="s">
        <v>393</v>
      </c>
      <c r="G166" s="48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Sensitivity Report 1</vt:lpstr>
      <vt:lpstr>Answer Report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Lokeshwaran Arunachalam</cp:lastModifiedBy>
  <dcterms:created xsi:type="dcterms:W3CDTF">2023-01-03T15:27:31Z</dcterms:created>
  <dcterms:modified xsi:type="dcterms:W3CDTF">2023-01-08T17:40:44Z</dcterms:modified>
</cp:coreProperties>
</file>